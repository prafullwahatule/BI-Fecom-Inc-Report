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E2B1E7DD-4251-452B-8A4B-98FA61499197}" xr6:coauthVersionLast="47" xr6:coauthVersionMax="47" xr10:uidLastSave="{00000000-0000-0000-0000-000000000000}"/>
  <bookViews>
    <workbookView xWindow="-108" yWindow="-108" windowWidth="23256" windowHeight="13176" firstSheet="1" activeTab="5" xr2:uid="{483C6ECF-6E74-49B9-821E-7C94F0DB9B14}"/>
  </bookViews>
  <sheets>
    <sheet name="Data &amp; Purpose" sheetId="1" r:id="rId1"/>
    <sheet name="Plan BI Pages" sheetId="4" r:id="rId2"/>
    <sheet name="Data Cleaning" sheetId="3" r:id="rId3"/>
    <sheet name="Before &amp; After Column" sheetId="2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9" i="3" l="1"/>
  <c r="F79" i="3"/>
  <c r="F77" i="3"/>
  <c r="F64" i="3"/>
  <c r="H64" i="3" s="1"/>
  <c r="F63" i="3"/>
  <c r="H63" i="3" s="1"/>
  <c r="F12" i="3"/>
  <c r="F11" i="3"/>
  <c r="F103" i="3"/>
  <c r="F102" i="3"/>
  <c r="F101" i="3"/>
  <c r="F100" i="3"/>
  <c r="F91" i="3"/>
  <c r="H91" i="3" s="1"/>
  <c r="F90" i="3"/>
  <c r="H90" i="3" s="1"/>
  <c r="F89" i="3"/>
  <c r="F88" i="3"/>
  <c r="F87" i="3"/>
  <c r="F76" i="3"/>
  <c r="F75" i="3"/>
  <c r="F74" i="3"/>
  <c r="F73" i="3"/>
  <c r="F62" i="3"/>
  <c r="H62" i="3" s="1"/>
  <c r="F61" i="3"/>
  <c r="H61" i="3" s="1"/>
  <c r="F60" i="3"/>
  <c r="H60" i="3" s="1"/>
  <c r="F59" i="3"/>
  <c r="H59" i="3" s="1"/>
  <c r="F58" i="3"/>
  <c r="H58" i="3" s="1"/>
  <c r="F57" i="3"/>
  <c r="H57" i="3" s="1"/>
  <c r="F48" i="3"/>
  <c r="F47" i="3"/>
  <c r="F46" i="3"/>
  <c r="F45" i="3"/>
  <c r="F36" i="3"/>
  <c r="F35" i="3"/>
  <c r="H35" i="3" s="1"/>
  <c r="F34" i="3"/>
  <c r="F33" i="3"/>
  <c r="F32" i="3"/>
  <c r="H32" i="3" s="1"/>
  <c r="F24" i="3"/>
  <c r="F23" i="3"/>
  <c r="H23" i="3" s="1"/>
  <c r="F22" i="3"/>
  <c r="F21" i="3"/>
  <c r="F10" i="3"/>
  <c r="H10" i="3" s="1"/>
  <c r="F9" i="3"/>
  <c r="H9" i="3" s="1"/>
  <c r="F8" i="3"/>
  <c r="F7" i="3"/>
  <c r="F6" i="3"/>
</calcChain>
</file>

<file path=xl/sharedStrings.xml><?xml version="1.0" encoding="utf-8"?>
<sst xmlns="http://schemas.openxmlformats.org/spreadsheetml/2006/main" count="642" uniqueCount="339">
  <si>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</si>
  <si>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</si>
  <si>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</si>
  <si>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</si>
  <si>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</si>
  <si>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</si>
  <si>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</si>
  <si>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</si>
  <si>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</si>
  <si>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</si>
  <si>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</si>
  <si>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</si>
  <si>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</si>
  <si>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</si>
  <si>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</si>
  <si>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</si>
  <si>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</si>
  <si>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</si>
  <si>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</si>
  <si>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</si>
  <si>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</si>
  <si>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</si>
  <si>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</si>
  <si>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</si>
  <si>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</si>
  <si>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</si>
  <si>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</si>
  <si>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</si>
  <si>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</si>
  <si>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High-level metrics: Total Orders, Revenue, Avg. Rating, Trends</t>
  </si>
  <si>
    <t>Analyze product performance, top products, category-wise sales</t>
  </si>
  <si>
    <t>Analyze seller performance, revenue, sales trends</t>
  </si>
  <si>
    <t>Analyze customer behavior, location, avg order value</t>
  </si>
  <si>
    <t>Track revenue, payment methods, refunds, monthly trends</t>
  </si>
  <si>
    <t>Analyze customer ratings &amp; feedback, avg rating, sentiment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</si>
  <si>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</si>
  <si>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</si>
  <si>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</si>
  <si>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</si>
  <si>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</si>
  <si>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</si>
  <si>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</si>
  <si>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</si>
  <si>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</si>
  <si>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</si>
  <si>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</si>
  <si>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</si>
  <si>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</si>
  <si>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</si>
  <si>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</si>
  <si>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</si>
  <si>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</si>
  <si>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</si>
  <si>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</si>
  <si>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</si>
  <si>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</si>
  <si>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</si>
  <si>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</si>
  <si>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</si>
  <si>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</si>
  <si>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</si>
  <si>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</si>
  <si>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</si>
  <si>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</si>
  <si>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</si>
  <si>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</si>
  <si>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</si>
  <si>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</si>
  <si>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</si>
  <si>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</si>
  <si>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</si>
  <si>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</si>
  <si>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</si>
  <si>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</si>
  <si>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</si>
  <si>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</si>
  <si>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</si>
  <si>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</si>
  <si>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</si>
  <si>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</si>
  <si>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</si>
  <si>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</si>
  <si>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</si>
  <si>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</si>
  <si>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</si>
  <si>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</si>
  <si>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</si>
  <si>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</si>
  <si>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</si>
  <si>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</si>
  <si>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</si>
  <si>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</si>
  <si>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</si>
  <si>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</si>
  <si>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</si>
  <si>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</si>
  <si>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</si>
  <si>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</si>
  <si>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</si>
  <si>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</si>
  <si>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</si>
  <si>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</si>
  <si>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</si>
  <si>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</si>
  <si>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</si>
  <si>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</si>
  <si>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</si>
  <si>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</si>
  <si>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</si>
  <si>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</si>
  <si>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</si>
  <si>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</si>
  <si>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</si>
  <si>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</si>
  <si>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</si>
  <si>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</si>
  <si>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</si>
  <si>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</si>
  <si>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</si>
  <si>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</si>
  <si>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</si>
  <si>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</si>
  <si>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</si>
  <si>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</si>
  <si>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</si>
  <si>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</si>
  <si>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</si>
  <si>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</si>
  <si>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</si>
  <si>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</si>
  <si>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</si>
  <si>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</si>
  <si>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</si>
  <si>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</si>
  <si>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</si>
  <si>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</si>
  <si>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</si>
  <si>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</si>
  <si>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</si>
  <si>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</si>
  <si>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</si>
  <si>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</si>
  <si>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</si>
  <si>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</si>
  <si>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</si>
  <si>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</si>
  <si>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</si>
  <si>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</si>
  <si>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</si>
  <si>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</si>
  <si>
    <t>Unique identifier for each seller. Used as primary key to link with orders and products.</t>
  </si>
  <si>
    <t>Seller_Name</t>
  </si>
  <si>
    <t>Name of the seller or company. Useful for reporting, dashboards, and seller analysis.</t>
  </si>
  <si>
    <t>Seller_Postal_Code</t>
  </si>
  <si>
    <t>Postal code of the seller’s location. Helps in geographical analysis and logistics planning.</t>
  </si>
  <si>
    <t>Seller_City</t>
  </si>
  <si>
    <t>City where the seller is located. Useful for city-level reporting and mapping.</t>
  </si>
  <si>
    <t>Country_Code</t>
  </si>
  <si>
    <t>ISO code of the seller’s country (e.g., DE, ES). Useful for country-level aggregation.</t>
  </si>
  <si>
    <t>Seller_Country</t>
  </si>
  <si>
    <t>Full name of the country of the seller. Helps in dashboards, maps, and regional analysis.</t>
  </si>
  <si>
    <t>Customer ID</t>
  </si>
  <si>
    <t>Subscription Date</t>
  </si>
  <si>
    <t>First Order Date</t>
  </si>
  <si>
    <t>City</t>
  </si>
  <si>
    <t>Country</t>
  </si>
  <si>
    <t>Postal Code</t>
  </si>
  <si>
    <t>Latitude</t>
  </si>
  <si>
    <t>Longitude</t>
  </si>
  <si>
    <t>Order ID</t>
  </si>
  <si>
    <t>Product ID</t>
  </si>
  <si>
    <t>Seller ID</t>
  </si>
  <si>
    <t>Item Price</t>
  </si>
  <si>
    <t>Shipping Cost</t>
  </si>
  <si>
    <t>Shipping Deadline</t>
  </si>
  <si>
    <t>Payment Method</t>
  </si>
  <si>
    <t>Installments</t>
  </si>
  <si>
    <t>Payment Amount</t>
  </si>
  <si>
    <t>Review ID</t>
  </si>
  <si>
    <t>Rating</t>
  </si>
  <si>
    <t>Review Date</t>
  </si>
  <si>
    <t>Status</t>
  </si>
  <si>
    <t>Order Date</t>
  </si>
  <si>
    <t>Delivery Date</t>
  </si>
  <si>
    <t>Estimated Delivery Date</t>
  </si>
  <si>
    <t>Category</t>
  </si>
  <si>
    <t>Weight (g)</t>
  </si>
  <si>
    <t>Length (cm)</t>
  </si>
  <si>
    <t>Height (cm)</t>
  </si>
  <si>
    <t>Width (cm)</t>
  </si>
  <si>
    <t>Seller Name</t>
  </si>
  <si>
    <t>Remove Column</t>
  </si>
  <si>
    <t xml:space="preserve">Remove Column </t>
  </si>
  <si>
    <t>Perform Activity</t>
  </si>
  <si>
    <t>Data Wrangling</t>
  </si>
  <si>
    <t>Home</t>
  </si>
  <si>
    <t>Overview</t>
  </si>
  <si>
    <t>Feedback</t>
  </si>
  <si>
    <t xml:space="preserve">Products </t>
  </si>
  <si>
    <t>Customer</t>
  </si>
  <si>
    <t>Revenue</t>
  </si>
  <si>
    <t>Sellers / Vendor</t>
  </si>
  <si>
    <t>Introductory page with project name, logo, Navigation buttons</t>
  </si>
  <si>
    <t>Age Group</t>
  </si>
  <si>
    <t>Add Column</t>
  </si>
  <si>
    <t>Total Item Cost</t>
  </si>
  <si>
    <t>Installment Flag</t>
  </si>
  <si>
    <t>Rating Category</t>
  </si>
  <si>
    <t>Delivery Time (Days)</t>
  </si>
  <si>
    <t xml:space="preserve"> Delivery Date After Plot</t>
  </si>
  <si>
    <t>Volume (cm³)</t>
  </si>
  <si>
    <t xml:space="preserve">Overview </t>
  </si>
  <si>
    <t>KPI's</t>
  </si>
  <si>
    <t>Total Order Completed</t>
  </si>
  <si>
    <t>KPI Name</t>
  </si>
  <si>
    <t>Insight</t>
  </si>
  <si>
    <t>Top Selling Category</t>
  </si>
  <si>
    <t>Top Seller</t>
  </si>
  <si>
    <t>Active Customer (30 Days)</t>
  </si>
  <si>
    <t>Total Revenue</t>
  </si>
  <si>
    <t>Average Rating</t>
  </si>
  <si>
    <t>Identifies the product category that contributes the highest number of orders, showing customer buying preference.</t>
  </si>
  <si>
    <t>Highlights the seller generating the most revenue, revealing the strongest performer on the platform.</t>
  </si>
  <si>
    <t>Shows how many unique customers placed an order in the last 30 days, measuring customer engagement and retention.</t>
  </si>
  <si>
    <t>Represents total earnings from customer payments, reflecting the financial health of the business.</t>
  </si>
  <si>
    <t>Indicates overall customer satisfaction based on the average review scores received.</t>
  </si>
  <si>
    <t>Charts</t>
  </si>
  <si>
    <t>Chart Name</t>
  </si>
  <si>
    <t>Used Column</t>
  </si>
  <si>
    <t>Linr Chart</t>
  </si>
  <si>
    <t>Order Date, Seller Revenue(KPI)</t>
  </si>
  <si>
    <t>Order Date, COUNT(OrderID)</t>
  </si>
  <si>
    <t>Order Date, Active Customer (30 Days)(KPI)</t>
  </si>
  <si>
    <t>Order Date, Total Revenue (KPI)</t>
  </si>
  <si>
    <t>Review Date, Average Rating (KPI)</t>
  </si>
  <si>
    <t>Displays the overall order volume trend, helping identify monthly spikes or drops in customer purchasing activity.</t>
  </si>
  <si>
    <t>Tracks revenue contributed by sellers over time, revealing top-performing periods and sales growth patterns.</t>
  </si>
  <si>
    <t>Shows how customer engagement varies monthly by measuring how many unique customers placed orders in recent periods.</t>
  </si>
  <si>
    <t>Illustrates revenue trends over time, helping identify business growth, seasonal peaks, or declining sales periods.</t>
  </si>
  <si>
    <t>Displays customer satisfaction trends by showing how average product ratings change over time.</t>
  </si>
  <si>
    <t>Product</t>
  </si>
  <si>
    <t>Vendor</t>
  </si>
  <si>
    <t>Di_Customer_List</t>
  </si>
  <si>
    <t>Di_Geolocations</t>
  </si>
  <si>
    <t>Di_Products</t>
  </si>
  <si>
    <t>Di_Sellers_List</t>
  </si>
  <si>
    <t>Total Customers</t>
  </si>
  <si>
    <t>Total Sellers</t>
  </si>
  <si>
    <t>On-Time Delivery %</t>
  </si>
  <si>
    <t>Top 10 Products by Revenue (Bar Chart)</t>
  </si>
  <si>
    <t>Top Selling Product (By Quantity)</t>
  </si>
  <si>
    <t>Top Revenue Product</t>
  </si>
  <si>
    <t>Average Product Rating</t>
  </si>
  <si>
    <t>Avg Shipping Cost Per Product</t>
  </si>
  <si>
    <t>Total Products→ DISTINCTCOUNT(Product ID)</t>
  </si>
  <si>
    <t>Category-wise Sales (Bar Chart)</t>
  </si>
  <si>
    <t>Top 10 Best Selling Products (Horizontal Bar)</t>
  </si>
  <si>
    <t>Product Weight vs Shipping Cost (Scatter Plot)</t>
  </si>
  <si>
    <t>Product Dimension Distribution (Treemap)</t>
  </si>
  <si>
    <t>Product Rating Distribution (Column Chart)</t>
  </si>
  <si>
    <t>Top Seller by Revenue</t>
  </si>
  <si>
    <t>Avg Seller Rating</t>
  </si>
  <si>
    <t>Orders per Seller</t>
  </si>
  <si>
    <t>On-Time Delivery by Seller (%)</t>
  </si>
  <si>
    <t>Seller Revenue Ranking (Bar Chart)</t>
  </si>
  <si>
    <t>Seller Fulfillment Performance (Cluster Bar)</t>
  </si>
  <si>
    <t>Geo Distribution of Sellers (Map)</t>
  </si>
  <si>
    <t>Seller Category Performance (Matrix/Table)</t>
  </si>
  <si>
    <t>Seller Shipping Cost Trend (Line)</t>
  </si>
  <si>
    <t>Seller vs Avg Shipping Cost</t>
  </si>
  <si>
    <t>Seller → Product Category → Revenue</t>
  </si>
  <si>
    <t>Postal Code → Sellers Count</t>
  </si>
  <si>
    <t>On-time vs Late Deliveries by Seller</t>
  </si>
  <si>
    <t>Sellers vs Revenue</t>
  </si>
  <si>
    <t>Category vs Revenue</t>
  </si>
  <si>
    <t>Total Quantity Sold</t>
  </si>
  <si>
    <t>Weight (g) → Shipping Cost</t>
  </si>
  <si>
    <t>Category → Product Count</t>
  </si>
  <si>
    <t>Rating Category vs Count</t>
  </si>
  <si>
    <t>New Customers (MTD / YTD)</t>
  </si>
  <si>
    <t>Avg Age of Customers</t>
  </si>
  <si>
    <t>Repeat Purchase Rate</t>
  </si>
  <si>
    <t>Customer Lifetime Value (CLV)</t>
  </si>
  <si>
    <t>Age Group Distribution (Column Chart)</t>
  </si>
  <si>
    <t>Gender Split (Donut Chart)</t>
  </si>
  <si>
    <t>Customer Location Map (Map)</t>
  </si>
  <si>
    <t>Customer Cohort – Orders by Subscription Month (Matrix/Area)</t>
  </si>
  <si>
    <t>Customer Order Frequency (Histogram)</t>
  </si>
  <si>
    <t>Count of Orders per Customer</t>
  </si>
  <si>
    <t>Subscription Month vs Orders</t>
  </si>
  <si>
    <t>Latitude/Longitude</t>
  </si>
  <si>
    <t>Male vs Female</t>
  </si>
  <si>
    <t>Age Group vs Count</t>
  </si>
  <si>
    <t>Avg Payment Amount</t>
  </si>
  <si>
    <t>Installment Payments (%)</t>
  </si>
  <si>
    <t>Revenue per Order</t>
  </si>
  <si>
    <t>Payment Method Share</t>
  </si>
  <si>
    <t>Revenue Trend Over Time (Line Chart)</t>
  </si>
  <si>
    <t>Payment Method Split (Pie / Donut)</t>
  </si>
  <si>
    <t>Installments vs Non-installments (Stacked Bar)</t>
  </si>
  <si>
    <t>Top Revenue Cities (Bar Chart)</t>
  </si>
  <si>
    <t>Order Value Distribution (Histogram)</t>
  </si>
  <si>
    <t>Total Order Value bins</t>
  </si>
  <si>
    <t>City vs Revenue</t>
  </si>
  <si>
    <t>Counts</t>
  </si>
  <si>
    <t>Credit Card, Debit Card, PayPal, etc.</t>
  </si>
  <si>
    <t>Monthly Revenue</t>
  </si>
  <si>
    <t>Total Reviews</t>
  </si>
  <si>
    <t>% Positive Reviews (Rating 4–5)</t>
  </si>
  <si>
    <t>% Negative Reviews (Rating 1–2)</t>
  </si>
  <si>
    <t>Avg Review Delay (Order vs Review Date)</t>
  </si>
  <si>
    <t>Rating Distribution (Column Chart)</t>
  </si>
  <si>
    <t>Average Rating Over Time (Line Chart)</t>
  </si>
  <si>
    <t>Product-wise Rating (Bar Chart)</t>
  </si>
  <si>
    <t>Seller-wise Rating (Bar Chart)</t>
  </si>
  <si>
    <t>Reviews Word Cloud (If text is available)</t>
  </si>
  <si>
    <t>Text analytics</t>
  </si>
  <si>
    <t>Seller vs Rating</t>
  </si>
  <si>
    <t>Product vs Avg Rating</t>
  </si>
  <si>
    <t>Monthly Rating Trend</t>
  </si>
  <si>
    <t>Insight (Easy, Professional Explanation)</t>
  </si>
  <si>
    <t>Shows how many orders were successfully delivered. A higher number means strong customer demand and good overall marketplace activity.</t>
  </si>
  <si>
    <t>Indicates the total money earned from all orders. This helps measure business growth, profitability, and monthly/seasonal performance.</t>
  </si>
  <si>
    <t>Represents how many unique customers purchased from the platform. An increasing count shows successful customer acquisition and market expansion.</t>
  </si>
  <si>
    <t>Shows the number of active sellers on the platform. More sellers indicate a wider product range and a healthier marketplace ecosystem.</t>
  </si>
  <si>
    <t>Reflects overall customer satisfaction based on product and delivery reviews. A higher rating means better product quality and service experience.</t>
  </si>
  <si>
    <t>Shows how many orders were delivered on or before the estimated delivery date. A higher percentage indicates efficient logistics and better customer experience.</t>
  </si>
  <si>
    <t>Used Columns / Measures</t>
  </si>
  <si>
    <t>Monthly Completed Orders Trend (Line Chart)</t>
  </si>
  <si>
    <t>Shows how successfully delivered orders change month by month, helping identify high-demand and low-demand periods.</t>
  </si>
  <si>
    <t>Highlights the highest revenue-generating product categories and helps identify top-selling items.</t>
  </si>
  <si>
    <t>Total Customers by Gender (Pie Chart)</t>
  </si>
  <si>
    <t>Displays customer distribution based on gender, providing insight into the dominant customer segment.</t>
  </si>
  <si>
    <t>Total Revenue by Quarter (Column Chart / Line Chart)</t>
  </si>
  <si>
    <t>Shows quarterly revenue performance, helping identify seasonal patterns, growth cycles, and business health across quarters.</t>
  </si>
  <si>
    <r>
      <t xml:space="preserve">Order Date, </t>
    </r>
    <r>
      <rPr>
        <b/>
        <sz val="12"/>
        <color theme="1"/>
        <rFont val="Calibri"/>
        <family val="2"/>
        <scheme val="minor"/>
      </rPr>
      <t>Total Orders Completed (KPI)</t>
    </r>
  </si>
  <si>
    <r>
      <t xml:space="preserve">Category, </t>
    </r>
    <r>
      <rPr>
        <b/>
        <sz val="12"/>
        <color theme="1"/>
        <rFont val="Calibri"/>
        <family val="2"/>
        <scheme val="minor"/>
      </rPr>
      <t>Total Revenue</t>
    </r>
  </si>
  <si>
    <r>
      <t xml:space="preserve">Gender, </t>
    </r>
    <r>
      <rPr>
        <b/>
        <sz val="12"/>
        <color theme="1"/>
        <rFont val="Calibri"/>
        <family val="2"/>
        <scheme val="minor"/>
      </rPr>
      <t>Total Customers</t>
    </r>
  </si>
  <si>
    <r>
      <t xml:space="preserve">Order Date, </t>
    </r>
    <r>
      <rPr>
        <b/>
        <sz val="12"/>
        <color theme="1"/>
        <rFont val="Calibri"/>
        <family val="2"/>
        <scheme val="minor"/>
      </rPr>
      <t>Total Revenue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</si>
</sst>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10" borderId="0" xfId="0" applyFill="1"/>
    <xf numFmtId="0" fontId="4" fillId="9" borderId="1" xfId="0" applyFont="1" applyFill="1" applyBorder="1" applyAlignment="1">
      <alignment horizontal="center" vertical="center"/>
    </xf>
    <xf numFmtId="0" fontId="1" fillId="10" borderId="0" xfId="0" applyFont="1" applyFill="1"/>
    <xf numFmtId="0" fontId="3" fillId="11" borderId="1" xfId="0" applyFont="1" applyFill="1" applyBorder="1"/>
    <xf numFmtId="0" fontId="5" fillId="12" borderId="1" xfId="0" applyFont="1" applyFill="1" applyBorder="1" applyAlignment="1">
      <alignment horizontal="center" vertical="center"/>
    </xf>
    <xf numFmtId="0" fontId="0" fillId="12" borderId="0" xfId="0" applyFill="1"/>
    <xf numFmtId="0" fontId="3" fillId="0" borderId="2" xfId="0" applyFont="1" applyBorder="1"/>
    <xf numFmtId="0" fontId="1" fillId="0" borderId="2" xfId="0" applyFont="1" applyBorder="1"/>
    <xf numFmtId="0" fontId="6" fillId="0" borderId="0" xfId="0" applyFont="1"/>
    <xf numFmtId="0" fontId="6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7" fillId="0" borderId="0" xfId="0" applyFont="1"/>
    <xf numFmtId="0" fontId="8" fillId="11" borderId="1" xfId="0" applyFont="1" applyFill="1" applyBorder="1"/>
    <xf numFmtId="0" fontId="0" fillId="0" borderId="0" xfId="0" applyAlignment="1">
      <alignment horizontal="left" vertical="center" indent="1"/>
    </xf>
    <xf numFmtId="0" fontId="7" fillId="11" borderId="1" xfId="0" applyFont="1" applyFill="1" applyBorder="1"/>
    <xf numFmtId="0" fontId="7" fillId="11" borderId="0" xfId="0" applyFont="1" applyFill="1"/>
    <xf numFmtId="0" fontId="3" fillId="11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topLeftCell="A2" workbookViewId="0">
      <selection activeCell="D29" sqref="D29"/>
    </sheetView>
  </sheetViews>
  <sheetFormatPr defaultRowHeight="14.4" x14ac:dyDescent="0.3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 x14ac:dyDescent="0.3">
      <c r="B4" s="1" t="s">
        <v>57</v>
      </c>
      <c r="C4" s="1" t="s">
        <v>0</v>
      </c>
      <c r="D4" s="1" t="s">
        <v>1</v>
      </c>
      <c r="E4" s="1" t="s">
        <v>2</v>
      </c>
    </row>
    <row r="5" spans="2:5" ht="15.6" x14ac:dyDescent="0.3">
      <c r="B5" s="2">
        <v>1</v>
      </c>
      <c r="C5" s="2" t="s">
        <v>3</v>
      </c>
      <c r="D5" s="2" t="s">
        <v>4</v>
      </c>
      <c r="E5" s="2" t="s">
        <v>5</v>
      </c>
    </row>
    <row r="6" spans="2:5" ht="15.6" x14ac:dyDescent="0.3">
      <c r="B6" s="2">
        <v>2</v>
      </c>
      <c r="C6" s="2" t="s">
        <v>6</v>
      </c>
      <c r="D6" s="2" t="s">
        <v>4</v>
      </c>
      <c r="E6" s="2" t="s">
        <v>7</v>
      </c>
    </row>
    <row r="7" spans="2:5" ht="15.6" x14ac:dyDescent="0.3">
      <c r="B7" s="2">
        <v>3</v>
      </c>
      <c r="C7" s="2" t="s">
        <v>8</v>
      </c>
      <c r="D7" s="2" t="s">
        <v>4</v>
      </c>
      <c r="E7" s="2" t="s">
        <v>9</v>
      </c>
    </row>
    <row r="8" spans="2:5" ht="15.6" x14ac:dyDescent="0.3">
      <c r="B8" s="2">
        <v>4</v>
      </c>
      <c r="C8" s="2" t="s">
        <v>10</v>
      </c>
      <c r="D8" s="2" t="s">
        <v>11</v>
      </c>
      <c r="E8" s="2" t="s">
        <v>12</v>
      </c>
    </row>
    <row r="9" spans="2:5" ht="15.6" x14ac:dyDescent="0.3">
      <c r="B9" s="2">
        <v>5</v>
      </c>
      <c r="C9" s="2" t="s">
        <v>13</v>
      </c>
      <c r="D9" s="2" t="s">
        <v>14</v>
      </c>
      <c r="E9" s="2" t="s">
        <v>15</v>
      </c>
    </row>
    <row r="10" spans="2:5" ht="31.2" x14ac:dyDescent="0.3">
      <c r="B10" s="2">
        <v>6</v>
      </c>
      <c r="C10" s="2" t="s">
        <v>16</v>
      </c>
      <c r="D10" s="2" t="s">
        <v>17</v>
      </c>
      <c r="E10" s="2" t="s">
        <v>18</v>
      </c>
    </row>
    <row r="11" spans="2:5" ht="15.6" x14ac:dyDescent="0.3">
      <c r="B11" s="2">
        <v>7</v>
      </c>
      <c r="C11" s="2" t="s">
        <v>19</v>
      </c>
      <c r="D11" s="2" t="s">
        <v>14</v>
      </c>
      <c r="E11" s="2" t="s">
        <v>20</v>
      </c>
    </row>
    <row r="12" spans="2:5" ht="15.6" x14ac:dyDescent="0.3">
      <c r="B12" s="2">
        <v>8</v>
      </c>
      <c r="C12" s="2" t="s">
        <v>21</v>
      </c>
      <c r="D12" s="2" t="s">
        <v>14</v>
      </c>
      <c r="E12" s="2" t="s">
        <v>22</v>
      </c>
    </row>
    <row r="13" spans="2:5" ht="15.6" x14ac:dyDescent="0.3">
      <c r="B13" s="2">
        <v>9</v>
      </c>
      <c r="C13" s="2" t="s">
        <v>23</v>
      </c>
      <c r="D13" s="2" t="s">
        <v>24</v>
      </c>
      <c r="E13" s="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1"/>
  <sheetViews>
    <sheetView workbookViewId="0">
      <selection activeCell="C6" sqref="C6:C11"/>
    </sheetView>
  </sheetViews>
  <sheetFormatPr defaultRowHeight="14.4" x14ac:dyDescent="0.3"/>
  <cols>
    <col min="2" max="2" width="25.6640625" customWidth="1"/>
    <col min="3" max="3" width="33.44140625" customWidth="1"/>
    <col min="4" max="4" width="60.5546875" customWidth="1"/>
  </cols>
  <sheetData>
    <row r="4" spans="2:4" ht="15.6" x14ac:dyDescent="0.3">
      <c r="B4" s="3" t="s">
        <v>26</v>
      </c>
      <c r="C4" s="3" t="s">
        <v>27</v>
      </c>
      <c r="D4" s="3" t="s">
        <v>28</v>
      </c>
    </row>
    <row r="5" spans="2:4" ht="31.2" x14ac:dyDescent="0.3">
      <c r="B5" s="4">
        <v>1</v>
      </c>
      <c r="C5" s="4" t="s">
        <v>195</v>
      </c>
      <c r="D5" s="4" t="s">
        <v>202</v>
      </c>
    </row>
    <row r="6" spans="2:4" ht="15.6" x14ac:dyDescent="0.3">
      <c r="B6" s="4">
        <v>2</v>
      </c>
      <c r="C6" s="4" t="s">
        <v>196</v>
      </c>
      <c r="D6" s="4" t="s">
        <v>29</v>
      </c>
    </row>
    <row r="7" spans="2:4" ht="31.2" x14ac:dyDescent="0.3">
      <c r="B7" s="4">
        <v>3</v>
      </c>
      <c r="C7" s="4" t="s">
        <v>198</v>
      </c>
      <c r="D7" s="4" t="s">
        <v>30</v>
      </c>
    </row>
    <row r="8" spans="2:4" ht="15.6" x14ac:dyDescent="0.3">
      <c r="B8" s="4">
        <v>4</v>
      </c>
      <c r="C8" s="4" t="s">
        <v>201</v>
      </c>
      <c r="D8" s="4" t="s">
        <v>31</v>
      </c>
    </row>
    <row r="9" spans="2:4" ht="15.6" x14ac:dyDescent="0.3">
      <c r="B9" s="4">
        <v>5</v>
      </c>
      <c r="C9" s="4" t="s">
        <v>199</v>
      </c>
      <c r="D9" s="4" t="s">
        <v>32</v>
      </c>
    </row>
    <row r="10" spans="2:4" ht="15.6" x14ac:dyDescent="0.3">
      <c r="B10" s="4">
        <v>6</v>
      </c>
      <c r="C10" s="4" t="s">
        <v>200</v>
      </c>
      <c r="D10" s="4" t="s">
        <v>33</v>
      </c>
    </row>
    <row r="11" spans="2:4" ht="15.6" x14ac:dyDescent="0.3">
      <c r="B11" s="4">
        <v>7</v>
      </c>
      <c r="C11" s="4" t="s">
        <v>197</v>
      </c>
      <c r="D11" s="4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A2:M105"/>
  <sheetViews>
    <sheetView zoomScale="52" workbookViewId="0">
      <selection activeCell="F68" sqref="F68"/>
    </sheetView>
  </sheetViews>
  <sheetFormatPr defaultRowHeight="14.4" x14ac:dyDescent="0.3"/>
  <cols>
    <col min="2" max="2" width="7.109375" bestFit="1" customWidth="1"/>
    <col min="3" max="3" width="26.88671875" bestFit="1" customWidth="1"/>
    <col min="4" max="4" width="27.441406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1:13" ht="23.4" x14ac:dyDescent="0.3">
      <c r="C2" s="20" t="s">
        <v>66</v>
      </c>
    </row>
    <row r="4" spans="1:13" ht="15.6" x14ac:dyDescent="0.3">
      <c r="B4" s="6" t="s">
        <v>57</v>
      </c>
      <c r="C4" s="6" t="s">
        <v>58</v>
      </c>
      <c r="D4" s="7"/>
      <c r="E4" s="8" t="s">
        <v>57</v>
      </c>
      <c r="F4" s="9" t="s">
        <v>59</v>
      </c>
      <c r="G4" s="9" t="s">
        <v>60</v>
      </c>
      <c r="H4" s="9" t="s">
        <v>61</v>
      </c>
      <c r="I4" s="10" t="s">
        <v>62</v>
      </c>
      <c r="J4" s="10" t="s">
        <v>63</v>
      </c>
      <c r="K4" s="10" t="s">
        <v>64</v>
      </c>
    </row>
    <row r="5" spans="1:13" ht="15.6" x14ac:dyDescent="0.3">
      <c r="B5" s="11">
        <v>0</v>
      </c>
      <c r="C5" s="11" t="s">
        <v>65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1:13" ht="15.6" x14ac:dyDescent="0.3">
      <c r="B6" s="11">
        <v>1</v>
      </c>
      <c r="C6" s="11" t="s">
        <v>67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1:13" ht="15.6" x14ac:dyDescent="0.3">
      <c r="B7" s="11">
        <v>2</v>
      </c>
      <c r="C7" s="11" t="s">
        <v>68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1:13" ht="15.6" x14ac:dyDescent="0.3">
      <c r="B8" s="11">
        <v>3</v>
      </c>
      <c r="C8" s="11" t="s">
        <v>69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1:13" ht="15.6" x14ac:dyDescent="0.3">
      <c r="B9" s="11">
        <v>4</v>
      </c>
      <c r="C9" s="11" t="s">
        <v>70</v>
      </c>
      <c r="D9" t="s">
        <v>37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1:13" ht="15.6" x14ac:dyDescent="0.3">
      <c r="B10" s="11">
        <v>5</v>
      </c>
      <c r="C10" s="11" t="s">
        <v>68</v>
      </c>
      <c r="D10" t="s">
        <v>37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1:13" ht="15.6" x14ac:dyDescent="0.3">
      <c r="B11" s="11">
        <v>6</v>
      </c>
      <c r="C11" s="11" t="s">
        <v>191</v>
      </c>
      <c r="D11" t="s">
        <v>39</v>
      </c>
      <c r="E11" s="11">
        <v>6</v>
      </c>
      <c r="F11" s="11">
        <f>G10</f>
        <v>99441</v>
      </c>
      <c r="G11" s="11">
        <v>99441</v>
      </c>
      <c r="H11" s="11">
        <v>0</v>
      </c>
      <c r="I11" s="11">
        <v>10</v>
      </c>
      <c r="J11" s="11">
        <v>9</v>
      </c>
      <c r="K11" s="11">
        <v>1</v>
      </c>
    </row>
    <row r="12" spans="1:13" ht="15.6" x14ac:dyDescent="0.3">
      <c r="B12" s="11">
        <v>7</v>
      </c>
      <c r="C12" s="11" t="s">
        <v>191</v>
      </c>
      <c r="D12" t="s">
        <v>51</v>
      </c>
      <c r="E12" s="11">
        <v>7</v>
      </c>
      <c r="F12" s="11">
        <f>G11</f>
        <v>99441</v>
      </c>
      <c r="G12" s="11">
        <v>99441</v>
      </c>
      <c r="H12" s="11">
        <v>0</v>
      </c>
      <c r="I12" s="11">
        <v>9</v>
      </c>
      <c r="J12" s="11">
        <v>8</v>
      </c>
      <c r="K12" s="11">
        <v>1</v>
      </c>
    </row>
    <row r="13" spans="1:13" ht="15.6" x14ac:dyDescent="0.3">
      <c r="B13" s="11">
        <v>8</v>
      </c>
      <c r="C13" s="11" t="s">
        <v>204</v>
      </c>
      <c r="D13" t="s">
        <v>203</v>
      </c>
      <c r="E13" s="11">
        <v>8</v>
      </c>
      <c r="F13" s="11">
        <v>99441</v>
      </c>
      <c r="G13" s="11">
        <v>99441</v>
      </c>
      <c r="H13" s="11">
        <v>0</v>
      </c>
      <c r="I13" s="11">
        <v>8</v>
      </c>
      <c r="J13" s="11">
        <v>9</v>
      </c>
      <c r="K13" s="11">
        <v>1</v>
      </c>
    </row>
    <row r="14" spans="1:13" ht="15.6" x14ac:dyDescent="0.3">
      <c r="B14" s="12"/>
      <c r="C14" s="12"/>
      <c r="E14" s="12"/>
      <c r="F14" s="12"/>
      <c r="G14" s="12"/>
      <c r="H14" s="12"/>
      <c r="I14" s="12"/>
      <c r="J14" s="12"/>
      <c r="K14" s="12"/>
    </row>
    <row r="15" spans="1:13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 ht="15.6" x14ac:dyDescent="0.3">
      <c r="B16" s="12"/>
      <c r="C16" s="12"/>
    </row>
    <row r="17" spans="1:13" ht="23.4" x14ac:dyDescent="0.3">
      <c r="B17" s="12"/>
      <c r="C17" s="20" t="s">
        <v>10</v>
      </c>
    </row>
    <row r="18" spans="1:13" ht="15.6" x14ac:dyDescent="0.3">
      <c r="B18" s="12"/>
    </row>
    <row r="19" spans="1:13" ht="15.6" x14ac:dyDescent="0.3">
      <c r="B19" s="6" t="s">
        <v>57</v>
      </c>
      <c r="C19" s="6" t="s">
        <v>58</v>
      </c>
      <c r="D19" s="7"/>
      <c r="E19" s="8" t="s">
        <v>57</v>
      </c>
      <c r="F19" s="9" t="s">
        <v>59</v>
      </c>
      <c r="G19" s="9" t="s">
        <v>60</v>
      </c>
      <c r="H19" s="9" t="s">
        <v>61</v>
      </c>
      <c r="I19" s="10" t="s">
        <v>62</v>
      </c>
      <c r="J19" s="10" t="s">
        <v>63</v>
      </c>
      <c r="K19" s="10" t="s">
        <v>64</v>
      </c>
    </row>
    <row r="20" spans="1:13" ht="15.6" x14ac:dyDescent="0.3">
      <c r="B20" s="11">
        <v>0</v>
      </c>
      <c r="C20" s="11" t="s">
        <v>65</v>
      </c>
      <c r="E20" s="11">
        <v>0</v>
      </c>
      <c r="F20" s="11">
        <v>1000163</v>
      </c>
      <c r="G20" s="11">
        <v>1000163</v>
      </c>
      <c r="H20" s="11">
        <v>0</v>
      </c>
      <c r="I20" s="11">
        <v>5</v>
      </c>
      <c r="J20" s="11">
        <v>5</v>
      </c>
      <c r="K20" s="11">
        <v>0</v>
      </c>
    </row>
    <row r="21" spans="1:13" ht="15.6" x14ac:dyDescent="0.3">
      <c r="B21" s="11">
        <v>1</v>
      </c>
      <c r="C21" s="11" t="s">
        <v>67</v>
      </c>
      <c r="E21" s="11">
        <v>1</v>
      </c>
      <c r="F21" s="11">
        <f>G20</f>
        <v>1000163</v>
      </c>
      <c r="G21" s="11">
        <v>1000163</v>
      </c>
      <c r="H21" s="11">
        <v>0</v>
      </c>
      <c r="I21" s="11">
        <v>5</v>
      </c>
      <c r="J21" s="11">
        <v>5</v>
      </c>
      <c r="K21" s="11">
        <v>0</v>
      </c>
    </row>
    <row r="22" spans="1:13" ht="15.6" x14ac:dyDescent="0.3">
      <c r="B22" s="11">
        <v>2</v>
      </c>
      <c r="C22" s="11" t="s">
        <v>68</v>
      </c>
      <c r="E22" s="11">
        <v>2</v>
      </c>
      <c r="F22" s="11">
        <f>G21</f>
        <v>1000163</v>
      </c>
      <c r="G22" s="11">
        <v>1000163</v>
      </c>
      <c r="H22" s="11"/>
      <c r="I22" s="11">
        <v>5</v>
      </c>
      <c r="J22" s="11">
        <v>5</v>
      </c>
      <c r="K22" s="11">
        <v>0</v>
      </c>
    </row>
    <row r="23" spans="1:13" ht="15.6" x14ac:dyDescent="0.3">
      <c r="B23" s="11">
        <v>3</v>
      </c>
      <c r="C23" s="11" t="s">
        <v>69</v>
      </c>
      <c r="E23" s="11">
        <v>3</v>
      </c>
      <c r="F23" s="11">
        <f>G22</f>
        <v>1000163</v>
      </c>
      <c r="G23" s="11">
        <v>1686</v>
      </c>
      <c r="H23" s="11">
        <f>F23-G23</f>
        <v>998477</v>
      </c>
      <c r="I23" s="11">
        <v>5</v>
      </c>
      <c r="J23" s="11">
        <v>5</v>
      </c>
      <c r="K23" s="11">
        <v>0</v>
      </c>
    </row>
    <row r="24" spans="1:13" ht="15.6" x14ac:dyDescent="0.3">
      <c r="B24" s="11">
        <v>4</v>
      </c>
      <c r="C24" s="11" t="s">
        <v>71</v>
      </c>
      <c r="E24" s="11">
        <v>4</v>
      </c>
      <c r="F24" s="11">
        <f>G23</f>
        <v>1686</v>
      </c>
      <c r="G24" s="11">
        <v>1685</v>
      </c>
      <c r="H24" s="11">
        <v>1</v>
      </c>
      <c r="I24" s="11">
        <v>5</v>
      </c>
      <c r="J24" s="11">
        <v>5</v>
      </c>
      <c r="K24" s="11">
        <v>0</v>
      </c>
    </row>
    <row r="26" spans="1:13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</row>
    <row r="28" spans="1:13" ht="23.4" x14ac:dyDescent="0.3">
      <c r="C28" s="20" t="s">
        <v>16</v>
      </c>
    </row>
    <row r="30" spans="1:13" ht="15.6" x14ac:dyDescent="0.3">
      <c r="B30" s="6" t="s">
        <v>57</v>
      </c>
      <c r="C30" s="6" t="s">
        <v>58</v>
      </c>
      <c r="D30" s="7"/>
      <c r="E30" s="8" t="s">
        <v>57</v>
      </c>
      <c r="F30" s="9" t="s">
        <v>59</v>
      </c>
      <c r="G30" s="9" t="s">
        <v>60</v>
      </c>
      <c r="H30" s="9" t="s">
        <v>61</v>
      </c>
      <c r="I30" s="10" t="s">
        <v>62</v>
      </c>
      <c r="J30" s="10" t="s">
        <v>63</v>
      </c>
      <c r="K30" s="10" t="s">
        <v>64</v>
      </c>
    </row>
    <row r="31" spans="1:13" ht="15.6" x14ac:dyDescent="0.3">
      <c r="B31" s="11">
        <v>0</v>
      </c>
      <c r="C31" s="11" t="s">
        <v>65</v>
      </c>
      <c r="E31" s="11">
        <v>0</v>
      </c>
      <c r="F31" s="11">
        <v>112650</v>
      </c>
      <c r="G31" s="11">
        <v>112650</v>
      </c>
      <c r="H31" s="11">
        <v>0</v>
      </c>
      <c r="I31" s="11">
        <v>7</v>
      </c>
      <c r="J31" s="11">
        <v>7</v>
      </c>
      <c r="K31" s="11">
        <v>0</v>
      </c>
    </row>
    <row r="32" spans="1:13" ht="15.6" x14ac:dyDescent="0.3">
      <c r="B32" s="11">
        <v>1</v>
      </c>
      <c r="C32" s="11" t="s">
        <v>67</v>
      </c>
      <c r="E32" s="11">
        <v>1</v>
      </c>
      <c r="F32" s="11">
        <f>G31</f>
        <v>112650</v>
      </c>
      <c r="G32" s="11">
        <v>112650</v>
      </c>
      <c r="H32" s="11">
        <f>F32-G32</f>
        <v>0</v>
      </c>
      <c r="I32" s="11">
        <v>7</v>
      </c>
      <c r="J32" s="11">
        <v>7</v>
      </c>
      <c r="K32" s="11">
        <v>0</v>
      </c>
    </row>
    <row r="33" spans="1:13" ht="15.6" x14ac:dyDescent="0.3">
      <c r="B33" s="11">
        <v>2</v>
      </c>
      <c r="C33" s="11" t="s">
        <v>68</v>
      </c>
      <c r="E33" s="11">
        <v>2</v>
      </c>
      <c r="F33" s="11">
        <f>G32</f>
        <v>112650</v>
      </c>
      <c r="G33" s="11">
        <v>112650</v>
      </c>
      <c r="H33" s="11">
        <v>0</v>
      </c>
      <c r="I33" s="11">
        <v>7</v>
      </c>
      <c r="J33" s="11">
        <v>7</v>
      </c>
      <c r="K33" s="11">
        <v>0</v>
      </c>
    </row>
    <row r="34" spans="1:13" ht="15.6" x14ac:dyDescent="0.3">
      <c r="B34" s="11">
        <v>3</v>
      </c>
      <c r="C34" s="11" t="s">
        <v>69</v>
      </c>
      <c r="E34" s="11">
        <v>3</v>
      </c>
      <c r="F34" s="11">
        <f>G33</f>
        <v>112650</v>
      </c>
      <c r="G34" s="11">
        <v>112650</v>
      </c>
      <c r="H34" s="11">
        <v>0</v>
      </c>
      <c r="I34" s="11">
        <v>7</v>
      </c>
      <c r="J34" s="11">
        <v>7</v>
      </c>
      <c r="K34" s="11">
        <v>0</v>
      </c>
    </row>
    <row r="35" spans="1:13" ht="15.6" x14ac:dyDescent="0.3">
      <c r="B35" s="11">
        <v>4</v>
      </c>
      <c r="C35" s="11" t="s">
        <v>69</v>
      </c>
      <c r="D35" t="s">
        <v>83</v>
      </c>
      <c r="E35" s="11">
        <v>4</v>
      </c>
      <c r="F35" s="11">
        <f>G34</f>
        <v>112650</v>
      </c>
      <c r="G35" s="11">
        <v>98666</v>
      </c>
      <c r="H35" s="11">
        <f>F35-G35</f>
        <v>13984</v>
      </c>
      <c r="I35" s="11">
        <v>7</v>
      </c>
      <c r="J35" s="11">
        <v>7</v>
      </c>
      <c r="K35" s="11">
        <v>0</v>
      </c>
    </row>
    <row r="36" spans="1:13" ht="15.6" x14ac:dyDescent="0.3">
      <c r="B36" s="11">
        <v>5</v>
      </c>
      <c r="C36" s="11" t="s">
        <v>191</v>
      </c>
      <c r="D36" t="s">
        <v>85</v>
      </c>
      <c r="E36" s="11">
        <v>5</v>
      </c>
      <c r="F36" s="11">
        <f>G35</f>
        <v>98666</v>
      </c>
      <c r="G36" s="11">
        <v>98666</v>
      </c>
      <c r="H36" s="11">
        <v>0</v>
      </c>
      <c r="I36" s="11">
        <v>7</v>
      </c>
      <c r="J36" s="11">
        <v>6</v>
      </c>
      <c r="K36" s="11">
        <v>1</v>
      </c>
    </row>
    <row r="37" spans="1:13" ht="15.6" x14ac:dyDescent="0.3">
      <c r="B37" s="11">
        <v>6</v>
      </c>
      <c r="C37" s="11" t="s">
        <v>204</v>
      </c>
      <c r="D37" t="s">
        <v>205</v>
      </c>
      <c r="E37" s="11">
        <v>6</v>
      </c>
      <c r="F37" s="11">
        <v>98666</v>
      </c>
      <c r="G37" s="11">
        <v>98666</v>
      </c>
      <c r="H37" s="11">
        <v>0</v>
      </c>
      <c r="I37" s="11">
        <v>6</v>
      </c>
      <c r="J37" s="11">
        <v>7</v>
      </c>
      <c r="K37" s="11">
        <v>1</v>
      </c>
    </row>
    <row r="39" spans="1:13" x14ac:dyDescent="0.3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</row>
    <row r="41" spans="1:13" ht="23.4" x14ac:dyDescent="0.3">
      <c r="C41" s="20" t="s">
        <v>19</v>
      </c>
    </row>
    <row r="43" spans="1:13" ht="15.6" x14ac:dyDescent="0.3">
      <c r="B43" s="6" t="s">
        <v>57</v>
      </c>
      <c r="C43" s="6" t="s">
        <v>58</v>
      </c>
      <c r="E43" s="8" t="s">
        <v>57</v>
      </c>
      <c r="F43" s="9" t="s">
        <v>59</v>
      </c>
      <c r="G43" s="9" t="s">
        <v>60</v>
      </c>
      <c r="H43" s="9" t="s">
        <v>61</v>
      </c>
      <c r="I43" s="10" t="s">
        <v>62</v>
      </c>
      <c r="J43" s="10" t="s">
        <v>63</v>
      </c>
      <c r="K43" s="10" t="s">
        <v>64</v>
      </c>
    </row>
    <row r="44" spans="1:13" ht="15.6" x14ac:dyDescent="0.3">
      <c r="B44" s="11">
        <v>0</v>
      </c>
      <c r="C44" s="11" t="s">
        <v>65</v>
      </c>
      <c r="E44" s="11">
        <v>0</v>
      </c>
      <c r="F44" s="11">
        <v>103886</v>
      </c>
      <c r="G44" s="11">
        <v>103886</v>
      </c>
      <c r="H44" s="11">
        <v>0</v>
      </c>
      <c r="I44" s="11">
        <v>5</v>
      </c>
      <c r="J44" s="11">
        <v>5</v>
      </c>
      <c r="K44" s="11">
        <v>0</v>
      </c>
    </row>
    <row r="45" spans="1:13" ht="15.6" x14ac:dyDescent="0.3">
      <c r="B45" s="11">
        <v>1</v>
      </c>
      <c r="C45" s="11" t="s">
        <v>67</v>
      </c>
      <c r="E45" s="11">
        <v>1</v>
      </c>
      <c r="F45" s="11">
        <f>G44</f>
        <v>103886</v>
      </c>
      <c r="G45" s="11">
        <v>103886</v>
      </c>
      <c r="H45" s="11">
        <v>0</v>
      </c>
      <c r="I45" s="11">
        <v>5</v>
      </c>
      <c r="J45" s="11">
        <v>5</v>
      </c>
      <c r="K45" s="11">
        <v>0</v>
      </c>
    </row>
    <row r="46" spans="1:13" ht="15.6" x14ac:dyDescent="0.3">
      <c r="B46" s="11">
        <v>2</v>
      </c>
      <c r="C46" s="11" t="s">
        <v>68</v>
      </c>
      <c r="E46" s="11">
        <v>2</v>
      </c>
      <c r="F46" s="11">
        <f>G45</f>
        <v>103886</v>
      </c>
      <c r="G46" s="11">
        <v>103886</v>
      </c>
      <c r="H46" s="11">
        <v>0</v>
      </c>
      <c r="I46" s="11">
        <v>5</v>
      </c>
      <c r="J46" s="11">
        <v>5</v>
      </c>
      <c r="K46" s="11">
        <v>0</v>
      </c>
    </row>
    <row r="47" spans="1:13" ht="15.6" x14ac:dyDescent="0.3">
      <c r="B47" s="11">
        <v>3</v>
      </c>
      <c r="C47" s="11" t="s">
        <v>69</v>
      </c>
      <c r="E47" s="11">
        <v>3</v>
      </c>
      <c r="F47" s="11">
        <f>G46</f>
        <v>103886</v>
      </c>
      <c r="G47" s="11">
        <v>103886</v>
      </c>
      <c r="H47" s="11">
        <v>0</v>
      </c>
      <c r="I47" s="11">
        <v>5</v>
      </c>
      <c r="J47" s="11">
        <v>5</v>
      </c>
      <c r="K47" s="11">
        <v>0</v>
      </c>
    </row>
    <row r="48" spans="1:13" ht="15.6" x14ac:dyDescent="0.3">
      <c r="B48" s="11">
        <v>4</v>
      </c>
      <c r="C48" s="11" t="s">
        <v>191</v>
      </c>
      <c r="D48" t="s">
        <v>99</v>
      </c>
      <c r="E48" s="11">
        <v>4</v>
      </c>
      <c r="F48" s="11">
        <f>G47</f>
        <v>103886</v>
      </c>
      <c r="G48" s="11">
        <v>103886</v>
      </c>
      <c r="H48" s="11">
        <v>0</v>
      </c>
      <c r="I48" s="11">
        <v>5</v>
      </c>
      <c r="J48" s="11">
        <v>4</v>
      </c>
      <c r="K48" s="11">
        <v>1</v>
      </c>
    </row>
    <row r="49" spans="1:13" ht="15.6" x14ac:dyDescent="0.3">
      <c r="B49" s="11">
        <v>5</v>
      </c>
      <c r="C49" s="11" t="s">
        <v>204</v>
      </c>
      <c r="D49" t="s">
        <v>206</v>
      </c>
      <c r="E49" s="11">
        <v>5</v>
      </c>
      <c r="F49" s="11">
        <v>103886</v>
      </c>
      <c r="G49" s="11">
        <v>103886</v>
      </c>
      <c r="H49" s="11">
        <v>0</v>
      </c>
      <c r="I49" s="11">
        <v>4</v>
      </c>
      <c r="J49" s="11">
        <v>5</v>
      </c>
      <c r="K49" s="11">
        <v>1</v>
      </c>
    </row>
    <row r="51" spans="1:13" x14ac:dyDescent="0.3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</row>
    <row r="53" spans="1:13" ht="23.4" x14ac:dyDescent="0.3">
      <c r="C53" s="20" t="s">
        <v>21</v>
      </c>
    </row>
    <row r="55" spans="1:13" ht="15.6" x14ac:dyDescent="0.3">
      <c r="B55" s="6" t="s">
        <v>57</v>
      </c>
      <c r="C55" s="6" t="s">
        <v>58</v>
      </c>
      <c r="E55" s="8" t="s">
        <v>57</v>
      </c>
      <c r="F55" s="9" t="s">
        <v>59</v>
      </c>
      <c r="G55" s="9" t="s">
        <v>60</v>
      </c>
      <c r="H55" s="9" t="s">
        <v>61</v>
      </c>
      <c r="I55" s="10" t="s">
        <v>62</v>
      </c>
      <c r="J55" s="10" t="s">
        <v>63</v>
      </c>
      <c r="K55" s="10" t="s">
        <v>64</v>
      </c>
    </row>
    <row r="56" spans="1:13" ht="15.6" x14ac:dyDescent="0.3">
      <c r="B56" s="11">
        <v>0</v>
      </c>
      <c r="C56" s="11" t="s">
        <v>65</v>
      </c>
      <c r="E56" s="11">
        <v>0</v>
      </c>
      <c r="F56" s="11">
        <v>99329</v>
      </c>
      <c r="G56" s="11">
        <v>99329</v>
      </c>
      <c r="H56" s="11">
        <v>0</v>
      </c>
      <c r="I56" s="11">
        <v>7</v>
      </c>
      <c r="J56" s="11">
        <v>7</v>
      </c>
      <c r="K56" s="11">
        <v>0</v>
      </c>
    </row>
    <row r="57" spans="1:13" ht="15.6" x14ac:dyDescent="0.3">
      <c r="B57" s="11">
        <v>1</v>
      </c>
      <c r="C57" s="11" t="s">
        <v>67</v>
      </c>
      <c r="E57" s="11">
        <v>1</v>
      </c>
      <c r="F57" s="11">
        <f t="shared" ref="F57:F62" si="1">G56</f>
        <v>99329</v>
      </c>
      <c r="G57" s="11">
        <v>99327</v>
      </c>
      <c r="H57" s="11">
        <f t="shared" ref="H57:H64" si="2">F57-G57</f>
        <v>2</v>
      </c>
      <c r="I57" s="11">
        <v>7</v>
      </c>
      <c r="J57" s="11">
        <v>7</v>
      </c>
      <c r="K57" s="11">
        <v>0</v>
      </c>
    </row>
    <row r="58" spans="1:13" ht="15.6" x14ac:dyDescent="0.3">
      <c r="B58" s="11">
        <v>2</v>
      </c>
      <c r="C58" s="11" t="s">
        <v>68</v>
      </c>
      <c r="E58" s="11">
        <v>2</v>
      </c>
      <c r="F58" s="11">
        <f t="shared" si="1"/>
        <v>99327</v>
      </c>
      <c r="G58" s="11">
        <v>99268</v>
      </c>
      <c r="H58" s="11">
        <f t="shared" si="2"/>
        <v>59</v>
      </c>
      <c r="I58" s="11">
        <v>7</v>
      </c>
      <c r="J58" s="11">
        <v>7</v>
      </c>
      <c r="K58" s="11">
        <v>0</v>
      </c>
    </row>
    <row r="59" spans="1:13" ht="15.6" x14ac:dyDescent="0.3">
      <c r="B59" s="11">
        <v>3</v>
      </c>
      <c r="C59" s="11" t="s">
        <v>69</v>
      </c>
      <c r="E59" s="11">
        <v>3</v>
      </c>
      <c r="F59" s="11">
        <f t="shared" si="1"/>
        <v>99268</v>
      </c>
      <c r="G59" s="11">
        <v>99268</v>
      </c>
      <c r="H59" s="11">
        <f t="shared" si="2"/>
        <v>0</v>
      </c>
      <c r="I59" s="11">
        <v>7</v>
      </c>
      <c r="J59" s="11">
        <v>7</v>
      </c>
      <c r="K59" s="11">
        <v>0</v>
      </c>
    </row>
    <row r="60" spans="1:13" ht="15.6" x14ac:dyDescent="0.3">
      <c r="B60" s="11">
        <v>4</v>
      </c>
      <c r="C60" s="11" t="s">
        <v>120</v>
      </c>
      <c r="D60" t="s">
        <v>83</v>
      </c>
      <c r="E60" s="11">
        <v>4</v>
      </c>
      <c r="F60" s="11">
        <f t="shared" si="1"/>
        <v>99268</v>
      </c>
      <c r="G60" s="11">
        <v>99223</v>
      </c>
      <c r="H60" s="11">
        <f t="shared" si="2"/>
        <v>45</v>
      </c>
      <c r="I60" s="11">
        <v>7</v>
      </c>
      <c r="J60" s="11">
        <v>7</v>
      </c>
      <c r="K60" s="11">
        <v>0</v>
      </c>
    </row>
    <row r="61" spans="1:13" ht="15.6" x14ac:dyDescent="0.3">
      <c r="B61" s="11">
        <v>5</v>
      </c>
      <c r="C61" s="11" t="s">
        <v>120</v>
      </c>
      <c r="D61" t="s">
        <v>116</v>
      </c>
      <c r="E61" s="11">
        <v>5</v>
      </c>
      <c r="F61" s="11">
        <f t="shared" si="1"/>
        <v>99223</v>
      </c>
      <c r="G61" s="11">
        <v>99221</v>
      </c>
      <c r="H61" s="11">
        <f t="shared" si="2"/>
        <v>2</v>
      </c>
      <c r="I61" s="11">
        <v>7</v>
      </c>
      <c r="J61" s="11">
        <v>7</v>
      </c>
      <c r="K61" s="11">
        <v>0</v>
      </c>
    </row>
    <row r="62" spans="1:13" ht="15.6" x14ac:dyDescent="0.3">
      <c r="B62" s="11">
        <v>6</v>
      </c>
      <c r="C62" s="11" t="s">
        <v>191</v>
      </c>
      <c r="D62" t="s">
        <v>114</v>
      </c>
      <c r="E62" s="11">
        <v>6</v>
      </c>
      <c r="F62" s="11">
        <f t="shared" si="1"/>
        <v>99221</v>
      </c>
      <c r="G62" s="11">
        <v>99221</v>
      </c>
      <c r="H62" s="11">
        <f t="shared" si="2"/>
        <v>0</v>
      </c>
      <c r="I62" s="11">
        <v>7</v>
      </c>
      <c r="J62" s="11">
        <v>6</v>
      </c>
      <c r="K62" s="11">
        <v>1</v>
      </c>
    </row>
    <row r="63" spans="1:13" ht="15.6" x14ac:dyDescent="0.3">
      <c r="B63" s="11">
        <v>7</v>
      </c>
      <c r="C63" s="11" t="s">
        <v>191</v>
      </c>
      <c r="D63" t="s">
        <v>112</v>
      </c>
      <c r="E63" s="11">
        <v>7</v>
      </c>
      <c r="F63" s="11">
        <f>G62</f>
        <v>99221</v>
      </c>
      <c r="G63" s="11">
        <v>99221</v>
      </c>
      <c r="H63" s="11">
        <f t="shared" si="2"/>
        <v>0</v>
      </c>
      <c r="I63" s="11">
        <v>6</v>
      </c>
      <c r="J63" s="11">
        <v>5</v>
      </c>
      <c r="K63" s="11">
        <v>1</v>
      </c>
    </row>
    <row r="64" spans="1:13" ht="15.6" x14ac:dyDescent="0.3">
      <c r="B64" s="11">
        <v>8</v>
      </c>
      <c r="C64" s="11" t="s">
        <v>191</v>
      </c>
      <c r="D64" t="s">
        <v>118</v>
      </c>
      <c r="E64" s="11">
        <v>8</v>
      </c>
      <c r="F64" s="11">
        <f>G63</f>
        <v>99221</v>
      </c>
      <c r="G64" s="11">
        <v>99221</v>
      </c>
      <c r="H64" s="11">
        <f t="shared" si="2"/>
        <v>0</v>
      </c>
      <c r="I64" s="11">
        <v>5</v>
      </c>
      <c r="J64" s="11">
        <v>4</v>
      </c>
      <c r="K64" s="11">
        <v>1</v>
      </c>
    </row>
    <row r="65" spans="1:13" ht="15.6" x14ac:dyDescent="0.3">
      <c r="B65" s="11">
        <v>9</v>
      </c>
      <c r="C65" s="11" t="s">
        <v>204</v>
      </c>
      <c r="D65" t="s">
        <v>207</v>
      </c>
      <c r="E65" s="11">
        <v>9</v>
      </c>
      <c r="F65" s="11">
        <v>99221</v>
      </c>
      <c r="G65" s="11">
        <v>99221</v>
      </c>
      <c r="H65" s="11">
        <v>0</v>
      </c>
      <c r="I65" s="11">
        <v>4</v>
      </c>
      <c r="J65" s="11">
        <v>5</v>
      </c>
      <c r="K65" s="11">
        <v>1</v>
      </c>
    </row>
    <row r="67" spans="1:13" x14ac:dyDescent="0.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</row>
    <row r="69" spans="1:13" ht="23.4" x14ac:dyDescent="0.3">
      <c r="C69" s="20" t="s">
        <v>13</v>
      </c>
    </row>
    <row r="71" spans="1:13" ht="15.6" x14ac:dyDescent="0.3">
      <c r="B71" s="6" t="s">
        <v>57</v>
      </c>
      <c r="C71" s="6" t="s">
        <v>58</v>
      </c>
      <c r="E71" s="8" t="s">
        <v>57</v>
      </c>
      <c r="F71" s="9" t="s">
        <v>59</v>
      </c>
      <c r="G71" s="9" t="s">
        <v>60</v>
      </c>
      <c r="H71" s="9" t="s">
        <v>61</v>
      </c>
      <c r="I71" s="10" t="s">
        <v>62</v>
      </c>
      <c r="J71" s="10" t="s">
        <v>63</v>
      </c>
      <c r="K71" s="10" t="s">
        <v>64</v>
      </c>
    </row>
    <row r="72" spans="1:13" ht="15.6" x14ac:dyDescent="0.3">
      <c r="B72" s="11">
        <v>0</v>
      </c>
      <c r="C72" s="11" t="s">
        <v>65</v>
      </c>
      <c r="E72" s="11">
        <v>0</v>
      </c>
      <c r="F72" s="11">
        <v>99441</v>
      </c>
      <c r="G72" s="11">
        <v>99441</v>
      </c>
      <c r="H72" s="11">
        <v>0</v>
      </c>
      <c r="I72" s="11">
        <v>8</v>
      </c>
      <c r="J72" s="11">
        <v>8</v>
      </c>
      <c r="K72" s="11">
        <v>0</v>
      </c>
    </row>
    <row r="73" spans="1:13" ht="15.6" x14ac:dyDescent="0.3">
      <c r="B73" s="11">
        <v>1</v>
      </c>
      <c r="C73" s="11" t="s">
        <v>67</v>
      </c>
      <c r="E73" s="11">
        <v>1</v>
      </c>
      <c r="F73" s="11">
        <f>G72</f>
        <v>99441</v>
      </c>
      <c r="G73" s="11">
        <v>99441</v>
      </c>
      <c r="H73" s="11">
        <v>0</v>
      </c>
      <c r="I73" s="11">
        <v>8</v>
      </c>
      <c r="J73" s="11">
        <v>8</v>
      </c>
      <c r="K73" s="11">
        <v>0</v>
      </c>
    </row>
    <row r="74" spans="1:13" ht="15.6" x14ac:dyDescent="0.3">
      <c r="B74" s="11">
        <v>2</v>
      </c>
      <c r="C74" s="11" t="s">
        <v>68</v>
      </c>
      <c r="E74" s="11">
        <v>2</v>
      </c>
      <c r="F74" s="11">
        <f>G73</f>
        <v>99441</v>
      </c>
      <c r="G74" s="11">
        <v>99441</v>
      </c>
      <c r="H74" s="11">
        <v>0</v>
      </c>
      <c r="I74" s="11">
        <v>8</v>
      </c>
      <c r="J74" s="11">
        <v>8</v>
      </c>
      <c r="K74" s="11">
        <v>0</v>
      </c>
    </row>
    <row r="75" spans="1:13" ht="15.6" x14ac:dyDescent="0.3">
      <c r="B75" s="11">
        <v>3</v>
      </c>
      <c r="C75" s="11" t="s">
        <v>69</v>
      </c>
      <c r="E75" s="11">
        <v>3</v>
      </c>
      <c r="F75" s="11">
        <f>G74</f>
        <v>99441</v>
      </c>
      <c r="G75" s="11">
        <v>99441</v>
      </c>
      <c r="H75" s="11">
        <v>0</v>
      </c>
      <c r="I75" s="11">
        <v>8</v>
      </c>
      <c r="J75" s="11">
        <v>8</v>
      </c>
      <c r="K75" s="11">
        <v>0</v>
      </c>
    </row>
    <row r="76" spans="1:13" ht="15.6" x14ac:dyDescent="0.3">
      <c r="B76" s="11">
        <v>4</v>
      </c>
      <c r="C76" s="11" t="s">
        <v>191</v>
      </c>
      <c r="D76" t="s">
        <v>129</v>
      </c>
      <c r="E76" s="11">
        <v>4</v>
      </c>
      <c r="F76" s="11">
        <f>G75</f>
        <v>99441</v>
      </c>
      <c r="G76" s="11">
        <v>99441</v>
      </c>
      <c r="H76" s="11">
        <v>0</v>
      </c>
      <c r="I76" s="11">
        <v>8</v>
      </c>
      <c r="J76" s="11">
        <v>7</v>
      </c>
      <c r="K76" s="11">
        <v>1</v>
      </c>
    </row>
    <row r="77" spans="1:13" ht="15.6" x14ac:dyDescent="0.3">
      <c r="B77" s="11">
        <v>5</v>
      </c>
      <c r="C77" s="11" t="s">
        <v>191</v>
      </c>
      <c r="D77" t="s">
        <v>131</v>
      </c>
      <c r="E77" s="11">
        <v>5</v>
      </c>
      <c r="F77" s="11">
        <f>G76</f>
        <v>99441</v>
      </c>
      <c r="G77" s="11">
        <v>99441</v>
      </c>
      <c r="H77" s="11">
        <v>0</v>
      </c>
      <c r="I77" s="11">
        <v>7</v>
      </c>
      <c r="J77" s="11">
        <v>6</v>
      </c>
      <c r="K77" s="11">
        <v>1</v>
      </c>
    </row>
    <row r="78" spans="1:13" ht="15.6" x14ac:dyDescent="0.3">
      <c r="B78" s="11">
        <v>6</v>
      </c>
      <c r="C78" s="11" t="s">
        <v>204</v>
      </c>
      <c r="D78" t="s">
        <v>208</v>
      </c>
      <c r="E78" s="11">
        <v>6</v>
      </c>
      <c r="F78" s="11">
        <v>99441</v>
      </c>
      <c r="G78" s="11">
        <v>99441</v>
      </c>
      <c r="H78" s="11">
        <v>0</v>
      </c>
      <c r="I78" s="11">
        <v>6</v>
      </c>
      <c r="J78" s="11">
        <v>7</v>
      </c>
      <c r="K78" s="11">
        <v>1</v>
      </c>
    </row>
    <row r="79" spans="1:13" ht="15.6" x14ac:dyDescent="0.3">
      <c r="B79" s="11">
        <v>7</v>
      </c>
      <c r="C79" s="11" t="s">
        <v>67</v>
      </c>
      <c r="D79" t="s">
        <v>209</v>
      </c>
      <c r="E79" s="11">
        <v>7</v>
      </c>
      <c r="F79" s="11">
        <f>G78</f>
        <v>99441</v>
      </c>
      <c r="G79" s="11">
        <v>96476</v>
      </c>
      <c r="H79" s="11">
        <f>F79-G79</f>
        <v>2965</v>
      </c>
      <c r="I79" s="11">
        <v>7</v>
      </c>
      <c r="J79" s="11">
        <v>7</v>
      </c>
      <c r="K79" s="11">
        <v>0</v>
      </c>
    </row>
    <row r="80" spans="1:13" ht="15.6" x14ac:dyDescent="0.3">
      <c r="B80" s="12"/>
      <c r="C80" s="12"/>
      <c r="E80" s="12"/>
      <c r="F80" s="12"/>
      <c r="G80" s="12"/>
      <c r="H80" s="12"/>
      <c r="I80" s="12"/>
      <c r="J80" s="12"/>
      <c r="K80" s="12"/>
    </row>
    <row r="81" spans="1:13" ht="15.6" x14ac:dyDescent="0.3">
      <c r="A81" s="19"/>
      <c r="B81" s="21"/>
      <c r="C81" s="21"/>
      <c r="D81" s="19"/>
      <c r="E81" s="21"/>
      <c r="F81" s="21"/>
      <c r="G81" s="21"/>
      <c r="H81" s="21"/>
      <c r="I81" s="21"/>
      <c r="J81" s="21"/>
      <c r="K81" s="21"/>
      <c r="L81" s="19"/>
      <c r="M81" s="19"/>
    </row>
    <row r="82" spans="1:13" ht="15.6" x14ac:dyDescent="0.3">
      <c r="B82" s="12"/>
      <c r="C82" s="12"/>
      <c r="E82" s="12"/>
      <c r="F82" s="12"/>
      <c r="G82" s="12"/>
      <c r="H82" s="12"/>
      <c r="I82" s="12"/>
      <c r="J82" s="12"/>
      <c r="K82" s="12"/>
    </row>
    <row r="83" spans="1:13" ht="23.4" x14ac:dyDescent="0.45">
      <c r="C83" s="13" t="s">
        <v>3</v>
      </c>
    </row>
    <row r="85" spans="1:13" ht="15.6" x14ac:dyDescent="0.3">
      <c r="B85" s="6" t="s">
        <v>57</v>
      </c>
      <c r="C85" s="6" t="s">
        <v>58</v>
      </c>
      <c r="E85" s="8" t="s">
        <v>57</v>
      </c>
      <c r="F85" s="9" t="s">
        <v>59</v>
      </c>
      <c r="G85" s="9" t="s">
        <v>60</v>
      </c>
      <c r="H85" s="9" t="s">
        <v>61</v>
      </c>
      <c r="I85" s="10" t="s">
        <v>62</v>
      </c>
      <c r="J85" s="10" t="s">
        <v>63</v>
      </c>
      <c r="K85" s="10" t="s">
        <v>64</v>
      </c>
    </row>
    <row r="86" spans="1:13" ht="15.6" x14ac:dyDescent="0.3">
      <c r="B86" s="11">
        <v>0</v>
      </c>
      <c r="C86" s="11" t="s">
        <v>65</v>
      </c>
      <c r="E86" s="11">
        <v>0</v>
      </c>
      <c r="F86" s="11">
        <v>32951</v>
      </c>
      <c r="G86" s="11">
        <v>32951</v>
      </c>
      <c r="H86" s="11">
        <v>0</v>
      </c>
      <c r="I86" s="11">
        <v>6</v>
      </c>
      <c r="J86" s="11">
        <v>6</v>
      </c>
      <c r="K86" s="11">
        <v>0</v>
      </c>
    </row>
    <row r="87" spans="1:13" ht="15.6" x14ac:dyDescent="0.3">
      <c r="B87" s="11">
        <v>1</v>
      </c>
      <c r="C87" s="11" t="s">
        <v>67</v>
      </c>
      <c r="E87" s="11">
        <v>1</v>
      </c>
      <c r="F87" s="11">
        <f t="shared" ref="F87:F91" si="3">G86</f>
        <v>32951</v>
      </c>
      <c r="G87" s="11">
        <v>32951</v>
      </c>
      <c r="H87" s="11">
        <v>0</v>
      </c>
      <c r="I87" s="11">
        <v>6</v>
      </c>
      <c r="J87" s="11">
        <v>6</v>
      </c>
      <c r="K87" s="11">
        <v>0</v>
      </c>
    </row>
    <row r="88" spans="1:13" ht="15.6" x14ac:dyDescent="0.3">
      <c r="B88" s="11">
        <v>2</v>
      </c>
      <c r="C88" s="11" t="s">
        <v>68</v>
      </c>
      <c r="E88" s="11">
        <v>2</v>
      </c>
      <c r="F88" s="11">
        <f t="shared" si="3"/>
        <v>32951</v>
      </c>
      <c r="G88" s="11">
        <v>32951</v>
      </c>
      <c r="H88" s="11">
        <v>0</v>
      </c>
      <c r="I88" s="11">
        <v>6</v>
      </c>
      <c r="J88" s="11">
        <v>6</v>
      </c>
      <c r="K88" s="11">
        <v>0</v>
      </c>
    </row>
    <row r="89" spans="1:13" ht="15.6" x14ac:dyDescent="0.3">
      <c r="B89" s="11">
        <v>3</v>
      </c>
      <c r="C89" s="11" t="s">
        <v>69</v>
      </c>
      <c r="E89" s="11">
        <v>3</v>
      </c>
      <c r="F89" s="11">
        <f t="shared" si="3"/>
        <v>32951</v>
      </c>
      <c r="G89" s="11">
        <v>32951</v>
      </c>
      <c r="H89" s="11">
        <v>0</v>
      </c>
      <c r="I89" s="11">
        <v>6</v>
      </c>
      <c r="J89" s="11">
        <v>6</v>
      </c>
      <c r="K89" s="11">
        <v>0</v>
      </c>
    </row>
    <row r="90" spans="1:13" ht="15.6" x14ac:dyDescent="0.3">
      <c r="B90" s="11">
        <v>4</v>
      </c>
      <c r="C90" s="11" t="s">
        <v>120</v>
      </c>
      <c r="D90" t="s">
        <v>141</v>
      </c>
      <c r="E90" s="11">
        <v>4</v>
      </c>
      <c r="F90" s="11">
        <f t="shared" si="3"/>
        <v>32951</v>
      </c>
      <c r="G90" s="11">
        <v>32949</v>
      </c>
      <c r="H90" s="11">
        <f>F90-G90</f>
        <v>2</v>
      </c>
      <c r="I90" s="11">
        <v>6</v>
      </c>
      <c r="J90" s="11">
        <v>6</v>
      </c>
      <c r="K90" s="11">
        <v>0</v>
      </c>
    </row>
    <row r="91" spans="1:13" ht="15.6" x14ac:dyDescent="0.3">
      <c r="B91" s="11">
        <v>5</v>
      </c>
      <c r="C91" s="11" t="s">
        <v>149</v>
      </c>
      <c r="D91" t="s">
        <v>141</v>
      </c>
      <c r="E91" s="11">
        <v>5</v>
      </c>
      <c r="F91" s="11">
        <f t="shared" si="3"/>
        <v>32949</v>
      </c>
      <c r="G91" s="11">
        <v>32945</v>
      </c>
      <c r="H91" s="11">
        <f>F91-G91</f>
        <v>4</v>
      </c>
      <c r="I91" s="11">
        <v>6</v>
      </c>
      <c r="J91" s="11">
        <v>6</v>
      </c>
      <c r="K91" s="11">
        <v>0</v>
      </c>
    </row>
    <row r="92" spans="1:13" ht="15.6" x14ac:dyDescent="0.3">
      <c r="B92" s="11">
        <v>6</v>
      </c>
      <c r="C92" s="11" t="s">
        <v>204</v>
      </c>
      <c r="D92" t="s">
        <v>210</v>
      </c>
      <c r="E92" s="11">
        <v>6</v>
      </c>
      <c r="F92" s="11">
        <v>32945</v>
      </c>
      <c r="G92" s="11">
        <v>32945</v>
      </c>
      <c r="H92" s="11">
        <v>0</v>
      </c>
      <c r="I92" s="11">
        <v>6</v>
      </c>
      <c r="J92" s="11">
        <v>7</v>
      </c>
      <c r="K92" s="11">
        <v>1</v>
      </c>
    </row>
    <row r="94" spans="1:13" x14ac:dyDescent="0.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</row>
    <row r="96" spans="1:13" ht="23.4" x14ac:dyDescent="0.45">
      <c r="C96" s="13" t="s">
        <v>6</v>
      </c>
    </row>
    <row r="98" spans="1:13" ht="15.6" x14ac:dyDescent="0.3">
      <c r="B98" s="6" t="s">
        <v>57</v>
      </c>
      <c r="C98" s="6" t="s">
        <v>58</v>
      </c>
      <c r="E98" s="8" t="s">
        <v>57</v>
      </c>
      <c r="F98" s="9" t="s">
        <v>59</v>
      </c>
      <c r="G98" s="9" t="s">
        <v>60</v>
      </c>
      <c r="H98" s="9" t="s">
        <v>61</v>
      </c>
      <c r="I98" s="10" t="s">
        <v>62</v>
      </c>
      <c r="J98" s="10" t="s">
        <v>63</v>
      </c>
      <c r="K98" s="10" t="s">
        <v>64</v>
      </c>
    </row>
    <row r="99" spans="1:13" ht="15.6" x14ac:dyDescent="0.3">
      <c r="B99" s="11">
        <v>0</v>
      </c>
      <c r="C99" s="11" t="s">
        <v>65</v>
      </c>
      <c r="E99" s="11">
        <v>0</v>
      </c>
      <c r="F99" s="11">
        <v>3095</v>
      </c>
      <c r="G99" s="11">
        <v>3095</v>
      </c>
      <c r="H99" s="11">
        <v>0</v>
      </c>
      <c r="I99" s="11">
        <v>6</v>
      </c>
      <c r="J99" s="11">
        <v>6</v>
      </c>
      <c r="K99" s="11">
        <v>0</v>
      </c>
    </row>
    <row r="100" spans="1:13" ht="15.6" x14ac:dyDescent="0.3">
      <c r="B100" s="11">
        <v>1</v>
      </c>
      <c r="C100" s="11" t="s">
        <v>67</v>
      </c>
      <c r="E100" s="11">
        <v>1</v>
      </c>
      <c r="F100" s="11">
        <f>G99</f>
        <v>3095</v>
      </c>
      <c r="G100" s="11">
        <v>3095</v>
      </c>
      <c r="H100" s="11">
        <v>0</v>
      </c>
      <c r="I100" s="11">
        <v>6</v>
      </c>
      <c r="J100" s="11">
        <v>6</v>
      </c>
      <c r="K100" s="11">
        <v>0</v>
      </c>
    </row>
    <row r="101" spans="1:13" ht="15.6" x14ac:dyDescent="0.3">
      <c r="B101" s="11">
        <v>2</v>
      </c>
      <c r="C101" s="11" t="s">
        <v>68</v>
      </c>
      <c r="E101" s="11">
        <v>2</v>
      </c>
      <c r="F101" s="11">
        <f>G100</f>
        <v>3095</v>
      </c>
      <c r="G101" s="11">
        <v>3095</v>
      </c>
      <c r="H101" s="11">
        <v>0</v>
      </c>
      <c r="I101" s="11">
        <v>6</v>
      </c>
      <c r="J101" s="11">
        <v>6</v>
      </c>
      <c r="K101" s="11">
        <v>0</v>
      </c>
    </row>
    <row r="102" spans="1:13" ht="15.6" x14ac:dyDescent="0.3">
      <c r="B102" s="11">
        <v>3</v>
      </c>
      <c r="C102" s="11" t="s">
        <v>69</v>
      </c>
      <c r="E102" s="11">
        <v>3</v>
      </c>
      <c r="F102" s="11">
        <f>G101</f>
        <v>3095</v>
      </c>
      <c r="G102" s="11">
        <v>3095</v>
      </c>
      <c r="H102" s="11">
        <v>0</v>
      </c>
      <c r="I102" s="11">
        <v>6</v>
      </c>
      <c r="J102" s="11">
        <v>6</v>
      </c>
      <c r="K102" s="11">
        <v>0</v>
      </c>
    </row>
    <row r="103" spans="1:13" ht="15.6" x14ac:dyDescent="0.3">
      <c r="B103" s="11">
        <v>4</v>
      </c>
      <c r="C103" s="11" t="s">
        <v>192</v>
      </c>
      <c r="D103" t="s">
        <v>157</v>
      </c>
      <c r="E103" s="11">
        <v>4</v>
      </c>
      <c r="F103" s="11">
        <f>G102</f>
        <v>3095</v>
      </c>
      <c r="G103" s="11">
        <v>3095</v>
      </c>
      <c r="H103" s="11">
        <v>0</v>
      </c>
      <c r="I103" s="11">
        <v>6</v>
      </c>
      <c r="J103" s="11">
        <v>5</v>
      </c>
      <c r="K103" s="11">
        <v>1</v>
      </c>
    </row>
    <row r="105" spans="1:13" x14ac:dyDescent="0.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C3:H103"/>
  <sheetViews>
    <sheetView topLeftCell="A99" zoomScale="96" workbookViewId="0">
      <selection activeCell="F3" sqref="F3:H102"/>
    </sheetView>
  </sheetViews>
  <sheetFormatPr defaultRowHeight="14.4" x14ac:dyDescent="0.3"/>
  <cols>
    <col min="2" max="2" width="11.21875" customWidth="1"/>
    <col min="3" max="3" width="28.109375" customWidth="1"/>
    <col min="4" max="4" width="26.6640625" customWidth="1"/>
    <col min="5" max="5" width="51" customWidth="1"/>
    <col min="6" max="6" width="25.33203125" bestFit="1" customWidth="1"/>
    <col min="7" max="7" width="6.5546875" bestFit="1" customWidth="1"/>
    <col min="8" max="8" width="24.77734375" bestFit="1" customWidth="1"/>
  </cols>
  <sheetData>
    <row r="3" spans="3:8" ht="23.4" x14ac:dyDescent="0.45">
      <c r="F3" s="13" t="s">
        <v>242</v>
      </c>
    </row>
    <row r="4" spans="3:8" ht="15.6" x14ac:dyDescent="0.3">
      <c r="C4" s="3" t="s">
        <v>35</v>
      </c>
      <c r="D4" s="3" t="s">
        <v>122</v>
      </c>
      <c r="E4" s="3" t="s">
        <v>36</v>
      </c>
      <c r="G4" s="15" t="s">
        <v>35</v>
      </c>
      <c r="H4" s="15" t="s">
        <v>121</v>
      </c>
    </row>
    <row r="5" spans="3:8" ht="15.6" x14ac:dyDescent="0.3">
      <c r="C5" s="5">
        <v>1</v>
      </c>
      <c r="D5" s="14" t="s">
        <v>37</v>
      </c>
      <c r="E5" s="5" t="s">
        <v>38</v>
      </c>
      <c r="G5" s="5">
        <v>1</v>
      </c>
      <c r="H5" s="14" t="s">
        <v>161</v>
      </c>
    </row>
    <row r="6" spans="3:8" ht="15.6" x14ac:dyDescent="0.3">
      <c r="C6" s="5">
        <v>2</v>
      </c>
      <c r="D6" s="14" t="s">
        <v>39</v>
      </c>
      <c r="E6" s="5" t="s">
        <v>40</v>
      </c>
      <c r="G6" s="5">
        <v>2</v>
      </c>
      <c r="H6" s="16" t="s">
        <v>162</v>
      </c>
    </row>
    <row r="7" spans="3:8" ht="15.6" x14ac:dyDescent="0.3">
      <c r="C7" s="5">
        <v>3</v>
      </c>
      <c r="D7" s="14" t="s">
        <v>41</v>
      </c>
      <c r="E7" s="5" t="s">
        <v>42</v>
      </c>
      <c r="G7" s="5">
        <v>3</v>
      </c>
      <c r="H7" s="16" t="s">
        <v>163</v>
      </c>
    </row>
    <row r="8" spans="3:8" ht="15.6" x14ac:dyDescent="0.3">
      <c r="C8" s="5">
        <v>4</v>
      </c>
      <c r="D8" s="14" t="s">
        <v>43</v>
      </c>
      <c r="E8" s="5" t="s">
        <v>44</v>
      </c>
      <c r="G8" s="5">
        <v>4</v>
      </c>
      <c r="H8" s="16" t="s">
        <v>164</v>
      </c>
    </row>
    <row r="9" spans="3:8" ht="15.6" x14ac:dyDescent="0.3">
      <c r="C9" s="5">
        <v>5</v>
      </c>
      <c r="D9" s="14" t="s">
        <v>45</v>
      </c>
      <c r="E9" s="5" t="s">
        <v>46</v>
      </c>
      <c r="G9" s="5">
        <v>5</v>
      </c>
      <c r="H9" s="16" t="s">
        <v>165</v>
      </c>
    </row>
    <row r="10" spans="3:8" ht="15.6" x14ac:dyDescent="0.3">
      <c r="C10" s="5">
        <v>6</v>
      </c>
      <c r="D10" s="14" t="s">
        <v>47</v>
      </c>
      <c r="E10" s="5" t="s">
        <v>48</v>
      </c>
      <c r="G10" s="5">
        <v>6</v>
      </c>
      <c r="H10" s="16" t="s">
        <v>166</v>
      </c>
    </row>
    <row r="11" spans="3:8" ht="15.6" x14ac:dyDescent="0.3">
      <c r="C11" s="5">
        <v>7</v>
      </c>
      <c r="D11" s="14" t="s">
        <v>49</v>
      </c>
      <c r="E11" s="5" t="s">
        <v>50</v>
      </c>
      <c r="G11" s="5">
        <v>7</v>
      </c>
      <c r="H11" s="16" t="s">
        <v>53</v>
      </c>
    </row>
    <row r="12" spans="3:8" ht="15.6" x14ac:dyDescent="0.3">
      <c r="C12" s="5">
        <v>8</v>
      </c>
      <c r="D12" s="14" t="s">
        <v>51</v>
      </c>
      <c r="E12" s="5" t="s">
        <v>52</v>
      </c>
      <c r="G12" s="5">
        <v>8</v>
      </c>
      <c r="H12" s="16" t="s">
        <v>55</v>
      </c>
    </row>
    <row r="13" spans="3:8" ht="15.6" x14ac:dyDescent="0.3">
      <c r="C13" s="5">
        <v>9</v>
      </c>
      <c r="D13" s="14" t="s">
        <v>53</v>
      </c>
      <c r="E13" s="5" t="s">
        <v>54</v>
      </c>
      <c r="G13" s="5">
        <v>9</v>
      </c>
      <c r="H13" s="16" t="s">
        <v>203</v>
      </c>
    </row>
    <row r="14" spans="3:8" ht="15.6" x14ac:dyDescent="0.3">
      <c r="C14" s="5">
        <v>10</v>
      </c>
      <c r="D14" s="14" t="s">
        <v>55</v>
      </c>
      <c r="E14" s="5" t="s">
        <v>56</v>
      </c>
    </row>
    <row r="19" spans="3:8" ht="23.4" x14ac:dyDescent="0.45">
      <c r="F19" s="13" t="s">
        <v>243</v>
      </c>
    </row>
    <row r="20" spans="3:8" ht="15.6" x14ac:dyDescent="0.3">
      <c r="C20" s="3" t="s">
        <v>57</v>
      </c>
      <c r="D20" s="3" t="s">
        <v>122</v>
      </c>
      <c r="E20" s="3" t="s">
        <v>72</v>
      </c>
      <c r="G20" s="10" t="s">
        <v>35</v>
      </c>
      <c r="H20" s="10" t="s">
        <v>121</v>
      </c>
    </row>
    <row r="21" spans="3:8" ht="46.8" x14ac:dyDescent="0.3">
      <c r="C21" s="5">
        <v>1</v>
      </c>
      <c r="D21" s="14" t="s">
        <v>73</v>
      </c>
      <c r="E21" s="5" t="s">
        <v>74</v>
      </c>
      <c r="G21" s="17">
        <v>1</v>
      </c>
      <c r="H21" s="18" t="s">
        <v>166</v>
      </c>
    </row>
    <row r="22" spans="3:8" ht="31.2" x14ac:dyDescent="0.3">
      <c r="C22" s="5">
        <v>2</v>
      </c>
      <c r="D22" s="14" t="s">
        <v>75</v>
      </c>
      <c r="E22" s="5" t="s">
        <v>76</v>
      </c>
      <c r="G22" s="17">
        <v>2</v>
      </c>
      <c r="H22" s="18" t="s">
        <v>167</v>
      </c>
    </row>
    <row r="23" spans="3:8" ht="31.2" x14ac:dyDescent="0.3">
      <c r="C23" s="5">
        <v>3</v>
      </c>
      <c r="D23" s="14" t="s">
        <v>77</v>
      </c>
      <c r="E23" s="5" t="s">
        <v>78</v>
      </c>
      <c r="G23" s="17">
        <v>3</v>
      </c>
      <c r="H23" s="18" t="s">
        <v>168</v>
      </c>
    </row>
    <row r="24" spans="3:8" ht="31.2" x14ac:dyDescent="0.3">
      <c r="C24" s="5">
        <v>4</v>
      </c>
      <c r="D24" s="14" t="s">
        <v>79</v>
      </c>
      <c r="E24" s="5" t="s">
        <v>80</v>
      </c>
      <c r="G24" s="17">
        <v>4</v>
      </c>
      <c r="H24" s="18" t="s">
        <v>164</v>
      </c>
    </row>
    <row r="25" spans="3:8" ht="31.2" x14ac:dyDescent="0.3">
      <c r="C25" s="5">
        <v>5</v>
      </c>
      <c r="D25" s="14" t="s">
        <v>81</v>
      </c>
      <c r="E25" s="5" t="s">
        <v>82</v>
      </c>
      <c r="G25" s="17">
        <v>5</v>
      </c>
      <c r="H25" s="18" t="s">
        <v>165</v>
      </c>
    </row>
    <row r="30" spans="3:8" ht="23.4" x14ac:dyDescent="0.45">
      <c r="F30" s="13" t="s">
        <v>16</v>
      </c>
    </row>
    <row r="31" spans="3:8" ht="15.6" x14ac:dyDescent="0.3">
      <c r="C31" s="3" t="s">
        <v>57</v>
      </c>
      <c r="D31" s="3" t="s">
        <v>122</v>
      </c>
      <c r="E31" s="3" t="s">
        <v>72</v>
      </c>
      <c r="G31" s="15" t="s">
        <v>35</v>
      </c>
      <c r="H31" s="15" t="s">
        <v>121</v>
      </c>
    </row>
    <row r="32" spans="3:8" ht="31.2" x14ac:dyDescent="0.3">
      <c r="C32" s="5">
        <v>1</v>
      </c>
      <c r="D32" s="14" t="s">
        <v>83</v>
      </c>
      <c r="E32" s="5" t="s">
        <v>84</v>
      </c>
      <c r="G32" s="29">
        <v>1</v>
      </c>
      <c r="H32" s="30" t="s">
        <v>169</v>
      </c>
    </row>
    <row r="33" spans="3:8" ht="31.2" x14ac:dyDescent="0.3">
      <c r="C33" s="5">
        <v>2</v>
      </c>
      <c r="D33" s="14" t="s">
        <v>85</v>
      </c>
      <c r="E33" s="5" t="s">
        <v>86</v>
      </c>
      <c r="G33" s="29">
        <v>2</v>
      </c>
      <c r="H33" s="30" t="s">
        <v>170</v>
      </c>
    </row>
    <row r="34" spans="3:8" ht="31.2" x14ac:dyDescent="0.3">
      <c r="C34" s="5">
        <v>3</v>
      </c>
      <c r="D34" s="14" t="s">
        <v>87</v>
      </c>
      <c r="E34" s="5" t="s">
        <v>88</v>
      </c>
      <c r="G34" s="29">
        <v>3</v>
      </c>
      <c r="H34" s="30" t="s">
        <v>171</v>
      </c>
    </row>
    <row r="35" spans="3:8" ht="46.8" x14ac:dyDescent="0.3">
      <c r="C35" s="5">
        <v>4</v>
      </c>
      <c r="D35" s="14" t="s">
        <v>89</v>
      </c>
      <c r="E35" s="5" t="s">
        <v>90</v>
      </c>
      <c r="G35" s="29">
        <v>4</v>
      </c>
      <c r="H35" s="30" t="s">
        <v>172</v>
      </c>
    </row>
    <row r="36" spans="3:8" ht="46.8" x14ac:dyDescent="0.3">
      <c r="C36" s="5">
        <v>5</v>
      </c>
      <c r="D36" s="14" t="s">
        <v>91</v>
      </c>
      <c r="E36" s="5" t="s">
        <v>92</v>
      </c>
      <c r="G36" s="29">
        <v>5</v>
      </c>
      <c r="H36" s="30" t="s">
        <v>173</v>
      </c>
    </row>
    <row r="37" spans="3:8" ht="31.2" x14ac:dyDescent="0.3">
      <c r="C37" s="5">
        <v>6</v>
      </c>
      <c r="D37" s="14" t="s">
        <v>93</v>
      </c>
      <c r="E37" s="5" t="s">
        <v>94</v>
      </c>
      <c r="G37" s="29">
        <v>6</v>
      </c>
      <c r="H37" s="30" t="s">
        <v>174</v>
      </c>
    </row>
    <row r="38" spans="3:8" ht="31.2" x14ac:dyDescent="0.3">
      <c r="C38" s="5">
        <v>7</v>
      </c>
      <c r="D38" s="14" t="s">
        <v>95</v>
      </c>
      <c r="E38" s="5" t="s">
        <v>96</v>
      </c>
      <c r="G38" s="29">
        <v>7</v>
      </c>
      <c r="H38" s="30" t="s">
        <v>205</v>
      </c>
    </row>
    <row r="43" spans="3:8" ht="23.4" x14ac:dyDescent="0.45">
      <c r="F43" s="13" t="s">
        <v>19</v>
      </c>
    </row>
    <row r="44" spans="3:8" ht="15.6" x14ac:dyDescent="0.3">
      <c r="C44" s="3" t="s">
        <v>57</v>
      </c>
      <c r="D44" s="3" t="s">
        <v>122</v>
      </c>
      <c r="E44" s="3" t="s">
        <v>97</v>
      </c>
      <c r="G44" s="15" t="s">
        <v>35</v>
      </c>
      <c r="H44" s="15" t="s">
        <v>121</v>
      </c>
    </row>
    <row r="45" spans="3:8" ht="31.2" x14ac:dyDescent="0.3">
      <c r="C45" s="5">
        <v>1</v>
      </c>
      <c r="D45" s="14" t="s">
        <v>83</v>
      </c>
      <c r="E45" s="5" t="s">
        <v>98</v>
      </c>
      <c r="G45" s="17">
        <v>1</v>
      </c>
      <c r="H45" s="18" t="s">
        <v>169</v>
      </c>
    </row>
    <row r="46" spans="3:8" ht="31.2" x14ac:dyDescent="0.3">
      <c r="C46" s="5">
        <v>2</v>
      </c>
      <c r="D46" s="14" t="s">
        <v>99</v>
      </c>
      <c r="E46" s="5" t="s">
        <v>100</v>
      </c>
      <c r="G46" s="17">
        <v>2</v>
      </c>
      <c r="H46" s="18" t="s">
        <v>175</v>
      </c>
    </row>
    <row r="47" spans="3:8" ht="31.2" x14ac:dyDescent="0.3">
      <c r="C47" s="5">
        <v>3</v>
      </c>
      <c r="D47" s="14" t="s">
        <v>101</v>
      </c>
      <c r="E47" s="5" t="s">
        <v>102</v>
      </c>
      <c r="G47" s="17">
        <v>3</v>
      </c>
      <c r="H47" s="18" t="s">
        <v>176</v>
      </c>
    </row>
    <row r="48" spans="3:8" ht="31.2" x14ac:dyDescent="0.3">
      <c r="C48" s="5">
        <v>4</v>
      </c>
      <c r="D48" s="14" t="s">
        <v>103</v>
      </c>
      <c r="E48" s="5" t="s">
        <v>104</v>
      </c>
      <c r="G48" s="17">
        <v>4</v>
      </c>
      <c r="H48" s="18" t="s">
        <v>177</v>
      </c>
    </row>
    <row r="49" spans="3:8" ht="31.2" x14ac:dyDescent="0.3">
      <c r="C49" s="5">
        <v>5</v>
      </c>
      <c r="D49" s="14" t="s">
        <v>105</v>
      </c>
      <c r="E49" s="5" t="s">
        <v>106</v>
      </c>
      <c r="G49" s="17">
        <v>5</v>
      </c>
      <c r="H49" s="18" t="s">
        <v>206</v>
      </c>
    </row>
    <row r="54" spans="3:8" ht="23.4" x14ac:dyDescent="0.45">
      <c r="F54" s="13" t="s">
        <v>21</v>
      </c>
    </row>
    <row r="55" spans="3:8" ht="15.6" x14ac:dyDescent="0.3">
      <c r="C55" s="3" t="s">
        <v>57</v>
      </c>
      <c r="D55" s="3" t="s">
        <v>122</v>
      </c>
      <c r="E55" s="3" t="s">
        <v>97</v>
      </c>
      <c r="G55" s="15" t="s">
        <v>35</v>
      </c>
      <c r="H55" s="15" t="s">
        <v>121</v>
      </c>
    </row>
    <row r="56" spans="3:8" ht="31.2" x14ac:dyDescent="0.3">
      <c r="C56" s="5">
        <v>1</v>
      </c>
      <c r="D56" s="14" t="s">
        <v>107</v>
      </c>
      <c r="E56" s="5" t="s">
        <v>108</v>
      </c>
      <c r="G56" s="17">
        <v>1</v>
      </c>
      <c r="H56" s="18" t="s">
        <v>178</v>
      </c>
    </row>
    <row r="57" spans="3:8" ht="31.2" x14ac:dyDescent="0.3">
      <c r="C57" s="5">
        <v>2</v>
      </c>
      <c r="D57" s="14" t="s">
        <v>83</v>
      </c>
      <c r="E57" s="5" t="s">
        <v>109</v>
      </c>
      <c r="G57" s="17">
        <v>2</v>
      </c>
      <c r="H57" s="18" t="s">
        <v>169</v>
      </c>
    </row>
    <row r="58" spans="3:8" ht="31.2" x14ac:dyDescent="0.3">
      <c r="C58" s="5">
        <v>3</v>
      </c>
      <c r="D58" s="14" t="s">
        <v>110</v>
      </c>
      <c r="E58" s="5" t="s">
        <v>111</v>
      </c>
      <c r="G58" s="17">
        <v>3</v>
      </c>
      <c r="H58" s="18" t="s">
        <v>179</v>
      </c>
    </row>
    <row r="59" spans="3:8" ht="31.2" x14ac:dyDescent="0.3">
      <c r="C59" s="5">
        <v>4</v>
      </c>
      <c r="D59" s="14" t="s">
        <v>112</v>
      </c>
      <c r="E59" s="5" t="s">
        <v>113</v>
      </c>
      <c r="G59" s="17">
        <v>4</v>
      </c>
      <c r="H59" s="18" t="s">
        <v>180</v>
      </c>
    </row>
    <row r="60" spans="3:8" ht="31.2" x14ac:dyDescent="0.3">
      <c r="C60" s="5">
        <v>5</v>
      </c>
      <c r="D60" s="14" t="s">
        <v>114</v>
      </c>
      <c r="E60" s="5" t="s">
        <v>115</v>
      </c>
      <c r="G60" s="17">
        <v>5</v>
      </c>
      <c r="H60" s="28" t="s">
        <v>207</v>
      </c>
    </row>
    <row r="61" spans="3:8" ht="31.2" x14ac:dyDescent="0.3">
      <c r="C61" s="5">
        <v>6</v>
      </c>
      <c r="D61" s="14" t="s">
        <v>116</v>
      </c>
      <c r="E61" s="5" t="s">
        <v>117</v>
      </c>
    </row>
    <row r="62" spans="3:8" ht="31.2" x14ac:dyDescent="0.3">
      <c r="C62" s="5">
        <v>7</v>
      </c>
      <c r="D62" s="14" t="s">
        <v>118</v>
      </c>
      <c r="E62" s="5" t="s">
        <v>119</v>
      </c>
    </row>
    <row r="67" spans="3:8" ht="23.4" x14ac:dyDescent="0.45">
      <c r="F67" s="13" t="s">
        <v>13</v>
      </c>
    </row>
    <row r="68" spans="3:8" ht="15.6" x14ac:dyDescent="0.3">
      <c r="C68" s="3" t="s">
        <v>57</v>
      </c>
      <c r="D68" s="3" t="s">
        <v>122</v>
      </c>
      <c r="E68" s="3" t="s">
        <v>97</v>
      </c>
      <c r="G68" s="15" t="s">
        <v>35</v>
      </c>
      <c r="H68" s="15" t="s">
        <v>121</v>
      </c>
    </row>
    <row r="69" spans="3:8" ht="31.2" x14ac:dyDescent="0.3">
      <c r="C69" s="14">
        <v>1</v>
      </c>
      <c r="D69" s="14" t="s">
        <v>83</v>
      </c>
      <c r="E69" s="5" t="s">
        <v>123</v>
      </c>
      <c r="G69" s="17">
        <v>1</v>
      </c>
      <c r="H69" s="18" t="s">
        <v>169</v>
      </c>
    </row>
    <row r="70" spans="3:8" ht="31.2" x14ac:dyDescent="0.3">
      <c r="C70" s="14">
        <v>2</v>
      </c>
      <c r="D70" s="14" t="s">
        <v>37</v>
      </c>
      <c r="E70" s="5" t="s">
        <v>124</v>
      </c>
      <c r="G70" s="17">
        <v>2</v>
      </c>
      <c r="H70" s="18" t="s">
        <v>161</v>
      </c>
    </row>
    <row r="71" spans="3:8" ht="46.8" x14ac:dyDescent="0.3">
      <c r="C71" s="14">
        <v>3</v>
      </c>
      <c r="D71" s="14" t="s">
        <v>125</v>
      </c>
      <c r="E71" s="5" t="s">
        <v>126</v>
      </c>
      <c r="G71" s="17">
        <v>3</v>
      </c>
      <c r="H71" s="18" t="s">
        <v>181</v>
      </c>
    </row>
    <row r="72" spans="3:8" ht="31.2" x14ac:dyDescent="0.3">
      <c r="C72" s="14">
        <v>4</v>
      </c>
      <c r="D72" s="14" t="s">
        <v>127</v>
      </c>
      <c r="E72" s="5" t="s">
        <v>128</v>
      </c>
      <c r="G72" s="17">
        <v>4</v>
      </c>
      <c r="H72" s="18" t="s">
        <v>182</v>
      </c>
    </row>
    <row r="73" spans="3:8" ht="31.2" x14ac:dyDescent="0.3">
      <c r="C73" s="14">
        <v>5</v>
      </c>
      <c r="D73" s="14" t="s">
        <v>129</v>
      </c>
      <c r="E73" s="5" t="s">
        <v>130</v>
      </c>
      <c r="G73" s="17">
        <v>5</v>
      </c>
      <c r="H73" s="18" t="s">
        <v>183</v>
      </c>
    </row>
    <row r="74" spans="3:8" ht="31.2" x14ac:dyDescent="0.3">
      <c r="C74" s="14">
        <v>6</v>
      </c>
      <c r="D74" s="14" t="s">
        <v>131</v>
      </c>
      <c r="E74" s="5" t="s">
        <v>132</v>
      </c>
      <c r="G74" s="17">
        <v>6</v>
      </c>
      <c r="H74" s="18" t="s">
        <v>184</v>
      </c>
    </row>
    <row r="75" spans="3:8" ht="31.2" x14ac:dyDescent="0.3">
      <c r="C75" s="14">
        <v>7</v>
      </c>
      <c r="D75" s="14" t="s">
        <v>133</v>
      </c>
      <c r="E75" s="5" t="s">
        <v>134</v>
      </c>
    </row>
    <row r="76" spans="3:8" ht="46.8" x14ac:dyDescent="0.3">
      <c r="C76" s="14">
        <v>8</v>
      </c>
      <c r="D76" s="14" t="s">
        <v>135</v>
      </c>
      <c r="E76" s="5" t="s">
        <v>136</v>
      </c>
    </row>
    <row r="82" spans="3:8" ht="23.4" x14ac:dyDescent="0.45">
      <c r="F82" s="13" t="s">
        <v>244</v>
      </c>
    </row>
    <row r="83" spans="3:8" ht="15.6" x14ac:dyDescent="0.3">
      <c r="C83" s="3" t="s">
        <v>57</v>
      </c>
      <c r="D83" s="3" t="s">
        <v>137</v>
      </c>
      <c r="E83" s="3" t="s">
        <v>97</v>
      </c>
      <c r="G83" s="15" t="s">
        <v>35</v>
      </c>
      <c r="H83" s="15" t="s">
        <v>121</v>
      </c>
    </row>
    <row r="84" spans="3:8" ht="31.2" x14ac:dyDescent="0.3">
      <c r="C84" s="14">
        <v>1</v>
      </c>
      <c r="D84" s="14" t="s">
        <v>87</v>
      </c>
      <c r="E84" s="5" t="s">
        <v>138</v>
      </c>
      <c r="G84" s="17">
        <v>1</v>
      </c>
      <c r="H84" s="18" t="s">
        <v>170</v>
      </c>
    </row>
    <row r="85" spans="3:8" ht="46.8" x14ac:dyDescent="0.3">
      <c r="C85" s="14">
        <v>2</v>
      </c>
      <c r="D85" s="14" t="s">
        <v>139</v>
      </c>
      <c r="E85" s="5" t="s">
        <v>140</v>
      </c>
      <c r="G85" s="17">
        <v>2</v>
      </c>
      <c r="H85" s="18" t="s">
        <v>185</v>
      </c>
    </row>
    <row r="86" spans="3:8" ht="31.2" x14ac:dyDescent="0.3">
      <c r="C86" s="14">
        <v>3</v>
      </c>
      <c r="D86" s="14" t="s">
        <v>141</v>
      </c>
      <c r="E86" s="5" t="s">
        <v>142</v>
      </c>
      <c r="G86" s="17">
        <v>3</v>
      </c>
      <c r="H86" s="18" t="s">
        <v>186</v>
      </c>
    </row>
    <row r="87" spans="3:8" ht="31.2" x14ac:dyDescent="0.3">
      <c r="C87" s="14">
        <v>4</v>
      </c>
      <c r="D87" s="14" t="s">
        <v>143</v>
      </c>
      <c r="E87" s="5" t="s">
        <v>144</v>
      </c>
      <c r="G87" s="17">
        <v>4</v>
      </c>
      <c r="H87" s="18" t="s">
        <v>187</v>
      </c>
    </row>
    <row r="88" spans="3:8" ht="46.8" x14ac:dyDescent="0.3">
      <c r="C88" s="14">
        <v>5</v>
      </c>
      <c r="D88" s="14" t="s">
        <v>145</v>
      </c>
      <c r="E88" s="5" t="s">
        <v>146</v>
      </c>
      <c r="G88" s="17">
        <v>5</v>
      </c>
      <c r="H88" s="18" t="s">
        <v>188</v>
      </c>
    </row>
    <row r="89" spans="3:8" ht="31.2" x14ac:dyDescent="0.3">
      <c r="C89" s="14">
        <v>6</v>
      </c>
      <c r="D89" s="14" t="s">
        <v>147</v>
      </c>
      <c r="E89" s="5" t="s">
        <v>148</v>
      </c>
      <c r="G89" s="17">
        <v>6</v>
      </c>
      <c r="H89" s="18" t="s">
        <v>189</v>
      </c>
    </row>
    <row r="96" spans="3:8" ht="23.4" x14ac:dyDescent="0.45">
      <c r="F96" s="13" t="s">
        <v>245</v>
      </c>
    </row>
    <row r="97" spans="3:8" ht="15.6" x14ac:dyDescent="0.3">
      <c r="C97" s="3" t="s">
        <v>57</v>
      </c>
      <c r="D97" s="3" t="s">
        <v>137</v>
      </c>
      <c r="E97" s="3" t="s">
        <v>97</v>
      </c>
      <c r="G97" s="15" t="s">
        <v>35</v>
      </c>
      <c r="H97" s="15" t="s">
        <v>121</v>
      </c>
    </row>
    <row r="98" spans="3:8" ht="31.2" x14ac:dyDescent="0.3">
      <c r="C98" s="14">
        <v>1</v>
      </c>
      <c r="D98" s="14" t="s">
        <v>89</v>
      </c>
      <c r="E98" s="5" t="s">
        <v>150</v>
      </c>
      <c r="G98" s="11">
        <v>1</v>
      </c>
      <c r="H98" s="16" t="s">
        <v>171</v>
      </c>
    </row>
    <row r="99" spans="3:8" ht="31.2" x14ac:dyDescent="0.3">
      <c r="C99" s="14">
        <v>2</v>
      </c>
      <c r="D99" s="14" t="s">
        <v>151</v>
      </c>
      <c r="E99" s="5" t="s">
        <v>152</v>
      </c>
      <c r="G99" s="11">
        <v>2</v>
      </c>
      <c r="H99" s="16" t="s">
        <v>190</v>
      </c>
    </row>
    <row r="100" spans="3:8" ht="31.2" x14ac:dyDescent="0.3">
      <c r="C100" s="14">
        <v>3</v>
      </c>
      <c r="D100" s="14" t="s">
        <v>153</v>
      </c>
      <c r="E100" s="5" t="s">
        <v>154</v>
      </c>
      <c r="G100" s="11">
        <v>3</v>
      </c>
      <c r="H100" s="16" t="s">
        <v>164</v>
      </c>
    </row>
    <row r="101" spans="3:8" ht="31.2" x14ac:dyDescent="0.3">
      <c r="C101" s="14">
        <v>4</v>
      </c>
      <c r="D101" s="14" t="s">
        <v>155</v>
      </c>
      <c r="E101" s="5" t="s">
        <v>156</v>
      </c>
      <c r="G101" s="11">
        <v>4</v>
      </c>
      <c r="H101" s="16" t="s">
        <v>165</v>
      </c>
    </row>
    <row r="102" spans="3:8" ht="31.2" x14ac:dyDescent="0.3">
      <c r="C102" s="14">
        <v>5</v>
      </c>
      <c r="D102" s="14" t="s">
        <v>157</v>
      </c>
      <c r="E102" s="5" t="s">
        <v>158</v>
      </c>
      <c r="G102" s="11">
        <v>5</v>
      </c>
      <c r="H102" s="16" t="s">
        <v>166</v>
      </c>
    </row>
    <row r="103" spans="3:8" ht="31.2" x14ac:dyDescent="0.3">
      <c r="C103" s="14">
        <v>6</v>
      </c>
      <c r="D103" s="14" t="s">
        <v>159</v>
      </c>
      <c r="E103" s="5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C3:F19"/>
  <sheetViews>
    <sheetView topLeftCell="A5" workbookViewId="0">
      <selection activeCell="C19" sqref="C19"/>
    </sheetView>
  </sheetViews>
  <sheetFormatPr defaultRowHeight="14.4" x14ac:dyDescent="0.3"/>
  <cols>
    <col min="2" max="2" width="21.109375" bestFit="1" customWidth="1"/>
    <col min="3" max="3" width="7.109375" bestFit="1" customWidth="1"/>
    <col min="4" max="4" width="30.88671875" bestFit="1" customWidth="1"/>
    <col min="5" max="5" width="16.33203125" bestFit="1" customWidth="1"/>
    <col min="6" max="6" width="16.5546875" bestFit="1" customWidth="1"/>
  </cols>
  <sheetData>
    <row r="3" spans="3:6" ht="23.4" x14ac:dyDescent="0.3">
      <c r="D3" s="23" t="s">
        <v>194</v>
      </c>
    </row>
    <row r="5" spans="3:6" ht="15.6" x14ac:dyDescent="0.3">
      <c r="C5" s="22" t="s">
        <v>57</v>
      </c>
      <c r="D5" s="22" t="s">
        <v>137</v>
      </c>
      <c r="E5" s="22" t="s">
        <v>193</v>
      </c>
      <c r="F5" s="22" t="s">
        <v>0</v>
      </c>
    </row>
    <row r="6" spans="3:6" ht="15.6" x14ac:dyDescent="0.3">
      <c r="C6" s="11">
        <v>1</v>
      </c>
      <c r="D6" s="16" t="s">
        <v>39</v>
      </c>
      <c r="E6" s="11" t="s">
        <v>191</v>
      </c>
      <c r="F6" s="11" t="s">
        <v>66</v>
      </c>
    </row>
    <row r="7" spans="3:6" ht="15.6" x14ac:dyDescent="0.3">
      <c r="C7" s="11">
        <v>2</v>
      </c>
      <c r="D7" s="16" t="s">
        <v>51</v>
      </c>
      <c r="E7" s="11" t="s">
        <v>191</v>
      </c>
      <c r="F7" s="11" t="s">
        <v>66</v>
      </c>
    </row>
    <row r="8" spans="3:6" ht="15.6" x14ac:dyDescent="0.3">
      <c r="C8" s="11">
        <v>3</v>
      </c>
      <c r="D8" s="16" t="s">
        <v>85</v>
      </c>
      <c r="E8" s="11" t="s">
        <v>191</v>
      </c>
      <c r="F8" s="11" t="s">
        <v>16</v>
      </c>
    </row>
    <row r="9" spans="3:6" ht="15.6" x14ac:dyDescent="0.3">
      <c r="C9" s="11">
        <v>4</v>
      </c>
      <c r="D9" s="16" t="s">
        <v>99</v>
      </c>
      <c r="E9" s="11" t="s">
        <v>191</v>
      </c>
      <c r="F9" s="11" t="s">
        <v>19</v>
      </c>
    </row>
    <row r="10" spans="3:6" ht="15.6" x14ac:dyDescent="0.3">
      <c r="C10" s="11">
        <v>5</v>
      </c>
      <c r="D10" s="16" t="s">
        <v>114</v>
      </c>
      <c r="E10" s="11" t="s">
        <v>191</v>
      </c>
      <c r="F10" s="11" t="s">
        <v>21</v>
      </c>
    </row>
    <row r="11" spans="3:6" ht="15.6" x14ac:dyDescent="0.3">
      <c r="C11" s="11">
        <v>6</v>
      </c>
      <c r="D11" s="16" t="s">
        <v>112</v>
      </c>
      <c r="E11" s="11" t="s">
        <v>191</v>
      </c>
      <c r="F11" s="11" t="s">
        <v>21</v>
      </c>
    </row>
    <row r="12" spans="3:6" ht="15.6" x14ac:dyDescent="0.3">
      <c r="C12" s="11">
        <v>7</v>
      </c>
      <c r="D12" s="16" t="s">
        <v>118</v>
      </c>
      <c r="E12" s="11" t="s">
        <v>191</v>
      </c>
      <c r="F12" s="11" t="s">
        <v>21</v>
      </c>
    </row>
    <row r="13" spans="3:6" ht="15.6" x14ac:dyDescent="0.3">
      <c r="C13" s="11">
        <v>8</v>
      </c>
      <c r="D13" s="16" t="s">
        <v>129</v>
      </c>
      <c r="E13" s="11" t="s">
        <v>191</v>
      </c>
      <c r="F13" s="11" t="s">
        <v>13</v>
      </c>
    </row>
    <row r="14" spans="3:6" ht="15.6" x14ac:dyDescent="0.3">
      <c r="C14" s="11">
        <v>9</v>
      </c>
      <c r="D14" s="16" t="s">
        <v>131</v>
      </c>
      <c r="E14" s="11" t="s">
        <v>191</v>
      </c>
      <c r="F14" s="11" t="s">
        <v>13</v>
      </c>
    </row>
    <row r="15" spans="3:6" ht="15.6" x14ac:dyDescent="0.3">
      <c r="C15" s="11">
        <v>10</v>
      </c>
      <c r="D15" s="16" t="s">
        <v>157</v>
      </c>
      <c r="E15" s="11" t="s">
        <v>191</v>
      </c>
      <c r="F15" s="11" t="s">
        <v>6</v>
      </c>
    </row>
    <row r="16" spans="3:6" ht="15.6" x14ac:dyDescent="0.3">
      <c r="C16" s="26">
        <v>11</v>
      </c>
      <c r="D16" s="25" t="s">
        <v>203</v>
      </c>
      <c r="E16" s="26" t="s">
        <v>204</v>
      </c>
      <c r="F16" s="26" t="s">
        <v>66</v>
      </c>
    </row>
    <row r="17" spans="3:6" ht="15.6" x14ac:dyDescent="0.3">
      <c r="C17" s="26">
        <v>12</v>
      </c>
      <c r="D17" s="27" t="s">
        <v>205</v>
      </c>
      <c r="E17" s="26" t="s">
        <v>204</v>
      </c>
      <c r="F17" s="26" t="s">
        <v>16</v>
      </c>
    </row>
    <row r="18" spans="3:6" ht="15.6" x14ac:dyDescent="0.3">
      <c r="C18" s="26">
        <v>13</v>
      </c>
      <c r="D18" t="s">
        <v>206</v>
      </c>
      <c r="E18" s="26" t="s">
        <v>204</v>
      </c>
      <c r="F18" s="26" t="s">
        <v>19</v>
      </c>
    </row>
    <row r="19" spans="3:6" ht="15.6" x14ac:dyDescent="0.3">
      <c r="C19" s="26">
        <v>14</v>
      </c>
      <c r="D19" t="s">
        <v>207</v>
      </c>
      <c r="E19" s="26" t="s">
        <v>204</v>
      </c>
      <c r="F19" s="26" t="s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3:P80"/>
  <sheetViews>
    <sheetView tabSelected="1" zoomScale="88" workbookViewId="0">
      <selection activeCell="B9" sqref="B9"/>
    </sheetView>
  </sheetViews>
  <sheetFormatPr defaultRowHeight="14.4" x14ac:dyDescent="0.3"/>
  <cols>
    <col min="3" max="3" width="16.5546875" bestFit="1" customWidth="1"/>
    <col min="6" max="6" width="39" bestFit="1" customWidth="1"/>
    <col min="7" max="7" width="83.77734375" customWidth="1"/>
    <col min="9" max="9" width="9.109375" bestFit="1" customWidth="1"/>
    <col min="11" max="11" width="54" bestFit="1" customWidth="1"/>
    <col min="12" max="12" width="61.77734375" bestFit="1" customWidth="1"/>
    <col min="13" max="13" width="116.21875" bestFit="1" customWidth="1"/>
  </cols>
  <sheetData>
    <row r="3" spans="1:16" ht="25.8" x14ac:dyDescent="0.5">
      <c r="C3" s="32" t="s">
        <v>211</v>
      </c>
      <c r="H3" s="24"/>
    </row>
    <row r="4" spans="1:16" x14ac:dyDescent="0.3">
      <c r="H4" s="24"/>
    </row>
    <row r="5" spans="1:16" ht="21" x14ac:dyDescent="0.4">
      <c r="D5" s="34" t="s">
        <v>212</v>
      </c>
      <c r="E5" s="12"/>
      <c r="F5" s="12"/>
      <c r="G5" s="12"/>
      <c r="H5" s="24"/>
      <c r="I5" s="35" t="s">
        <v>226</v>
      </c>
    </row>
    <row r="6" spans="1:16" ht="15.6" x14ac:dyDescent="0.3">
      <c r="D6" s="12"/>
      <c r="E6" s="36" t="s">
        <v>57</v>
      </c>
      <c r="F6" s="36" t="s">
        <v>214</v>
      </c>
      <c r="G6" s="36" t="s">
        <v>320</v>
      </c>
      <c r="H6" s="24"/>
      <c r="J6" s="36" t="s">
        <v>57</v>
      </c>
      <c r="K6" s="36" t="s">
        <v>227</v>
      </c>
      <c r="L6" s="36" t="s">
        <v>327</v>
      </c>
      <c r="M6" s="36" t="s">
        <v>215</v>
      </c>
    </row>
    <row r="7" spans="1:16" ht="31.2" x14ac:dyDescent="0.3">
      <c r="D7" s="12"/>
      <c r="E7" s="14">
        <v>1</v>
      </c>
      <c r="F7" s="37" t="s">
        <v>213</v>
      </c>
      <c r="G7" s="5" t="s">
        <v>321</v>
      </c>
      <c r="H7" s="24"/>
      <c r="J7" s="14">
        <v>1</v>
      </c>
      <c r="K7" s="14" t="s">
        <v>328</v>
      </c>
      <c r="L7" s="5" t="s">
        <v>335</v>
      </c>
      <c r="M7" s="5" t="s">
        <v>329</v>
      </c>
    </row>
    <row r="8" spans="1:16" ht="31.2" x14ac:dyDescent="0.3">
      <c r="E8" s="14">
        <v>2</v>
      </c>
      <c r="F8" s="37" t="s">
        <v>219</v>
      </c>
      <c r="G8" s="5" t="s">
        <v>322</v>
      </c>
      <c r="H8" s="24"/>
      <c r="J8" s="14">
        <v>2</v>
      </c>
      <c r="K8" s="14" t="s">
        <v>249</v>
      </c>
      <c r="L8" s="5" t="s">
        <v>336</v>
      </c>
      <c r="M8" s="5" t="s">
        <v>330</v>
      </c>
    </row>
    <row r="9" spans="1:16" ht="31.2" x14ac:dyDescent="0.3">
      <c r="E9" s="14">
        <v>3</v>
      </c>
      <c r="F9" s="37" t="s">
        <v>246</v>
      </c>
      <c r="G9" s="5" t="s">
        <v>323</v>
      </c>
      <c r="H9" s="24"/>
      <c r="J9" s="14">
        <v>3</v>
      </c>
      <c r="K9" s="14" t="s">
        <v>331</v>
      </c>
      <c r="L9" s="5" t="s">
        <v>337</v>
      </c>
      <c r="M9" s="5" t="s">
        <v>332</v>
      </c>
    </row>
    <row r="10" spans="1:16" ht="31.2" x14ac:dyDescent="0.3">
      <c r="E10" s="14">
        <v>4</v>
      </c>
      <c r="F10" s="37" t="s">
        <v>247</v>
      </c>
      <c r="G10" s="5" t="s">
        <v>324</v>
      </c>
      <c r="H10" s="24"/>
      <c r="J10" s="14">
        <v>4</v>
      </c>
      <c r="K10" s="14" t="s">
        <v>333</v>
      </c>
      <c r="L10" s="5" t="s">
        <v>338</v>
      </c>
      <c r="M10" s="5" t="s">
        <v>334</v>
      </c>
    </row>
    <row r="11" spans="1:16" ht="31.2" x14ac:dyDescent="0.3">
      <c r="E11" s="14">
        <v>5</v>
      </c>
      <c r="F11" s="37" t="s">
        <v>220</v>
      </c>
      <c r="G11" s="5" t="s">
        <v>325</v>
      </c>
      <c r="H11" s="24"/>
    </row>
    <row r="12" spans="1:16" ht="31.2" x14ac:dyDescent="0.3">
      <c r="E12" s="14">
        <v>6</v>
      </c>
      <c r="F12" s="37" t="s">
        <v>248</v>
      </c>
      <c r="G12" s="5" t="s">
        <v>326</v>
      </c>
      <c r="H12" s="24"/>
    </row>
    <row r="13" spans="1:16" x14ac:dyDescent="0.3">
      <c r="H13" s="24"/>
    </row>
    <row r="14" spans="1:16" x14ac:dyDescent="0.3">
      <c r="H14" s="24"/>
    </row>
    <row r="15" spans="1:16" x14ac:dyDescent="0.3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</row>
    <row r="16" spans="1:16" x14ac:dyDescent="0.3">
      <c r="H16" s="24"/>
    </row>
    <row r="17" spans="1:16" ht="25.8" x14ac:dyDescent="0.5">
      <c r="C17" s="32" t="s">
        <v>240</v>
      </c>
      <c r="H17" s="24"/>
    </row>
    <row r="18" spans="1:16" x14ac:dyDescent="0.3">
      <c r="H18" s="24"/>
    </row>
    <row r="19" spans="1:16" ht="21" x14ac:dyDescent="0.4">
      <c r="D19" s="31" t="s">
        <v>212</v>
      </c>
      <c r="E19" s="12"/>
      <c r="F19" s="12"/>
      <c r="G19" s="12"/>
      <c r="H19" s="24"/>
      <c r="I19" s="31" t="s">
        <v>226</v>
      </c>
    </row>
    <row r="20" spans="1:16" ht="15.6" x14ac:dyDescent="0.3">
      <c r="D20" s="12"/>
      <c r="E20" s="12" t="s">
        <v>57</v>
      </c>
      <c r="F20" s="12" t="s">
        <v>214</v>
      </c>
      <c r="G20" s="12" t="s">
        <v>215</v>
      </c>
      <c r="H20" s="24"/>
      <c r="J20" s="12" t="s">
        <v>57</v>
      </c>
      <c r="K20" s="12" t="s">
        <v>227</v>
      </c>
      <c r="L20" s="12" t="s">
        <v>228</v>
      </c>
      <c r="M20" s="12" t="s">
        <v>215</v>
      </c>
    </row>
    <row r="21" spans="1:16" ht="15.6" x14ac:dyDescent="0.3">
      <c r="D21" s="12"/>
      <c r="E21" s="12">
        <v>1</v>
      </c>
      <c r="F21" s="12" t="s">
        <v>216</v>
      </c>
      <c r="G21" t="s">
        <v>221</v>
      </c>
      <c r="H21" s="24"/>
      <c r="J21">
        <v>1</v>
      </c>
      <c r="K21" t="s">
        <v>229</v>
      </c>
      <c r="L21" t="s">
        <v>231</v>
      </c>
      <c r="M21" t="s">
        <v>235</v>
      </c>
    </row>
    <row r="22" spans="1:16" x14ac:dyDescent="0.3">
      <c r="E22">
        <v>2</v>
      </c>
      <c r="F22" t="s">
        <v>254</v>
      </c>
      <c r="H22" s="24"/>
      <c r="J22">
        <v>2</v>
      </c>
      <c r="K22" t="s">
        <v>255</v>
      </c>
      <c r="L22" t="s">
        <v>274</v>
      </c>
    </row>
    <row r="23" spans="1:16" x14ac:dyDescent="0.3">
      <c r="E23">
        <v>3</v>
      </c>
      <c r="F23" t="s">
        <v>250</v>
      </c>
      <c r="H23" s="24"/>
      <c r="J23">
        <v>3</v>
      </c>
      <c r="K23" t="s">
        <v>256</v>
      </c>
      <c r="L23" t="s">
        <v>275</v>
      </c>
    </row>
    <row r="24" spans="1:16" ht="15.6" x14ac:dyDescent="0.3">
      <c r="E24" s="12">
        <v>4</v>
      </c>
      <c r="F24" t="s">
        <v>251</v>
      </c>
      <c r="H24" s="24"/>
      <c r="J24">
        <v>4</v>
      </c>
      <c r="K24" t="s">
        <v>257</v>
      </c>
      <c r="L24" t="s">
        <v>276</v>
      </c>
    </row>
    <row r="25" spans="1:16" ht="15.6" x14ac:dyDescent="0.3">
      <c r="E25" s="12">
        <v>5</v>
      </c>
      <c r="F25" t="s">
        <v>252</v>
      </c>
      <c r="H25" s="24"/>
      <c r="J25">
        <v>5</v>
      </c>
      <c r="K25" t="s">
        <v>258</v>
      </c>
      <c r="L25" t="s">
        <v>277</v>
      </c>
    </row>
    <row r="26" spans="1:16" ht="15.6" x14ac:dyDescent="0.3">
      <c r="E26" s="12">
        <v>6</v>
      </c>
      <c r="F26" t="s">
        <v>253</v>
      </c>
      <c r="H26" s="24"/>
      <c r="J26">
        <v>6</v>
      </c>
      <c r="K26" t="s">
        <v>259</v>
      </c>
      <c r="L26" t="s">
        <v>278</v>
      </c>
    </row>
    <row r="27" spans="1:16" x14ac:dyDescent="0.3">
      <c r="H27" s="24"/>
    </row>
    <row r="28" spans="1:16" x14ac:dyDescent="0.3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 x14ac:dyDescent="0.3">
      <c r="H29" s="24"/>
    </row>
    <row r="30" spans="1:16" ht="25.8" x14ac:dyDescent="0.5">
      <c r="C30" s="32" t="s">
        <v>241</v>
      </c>
      <c r="H30" s="24"/>
    </row>
    <row r="31" spans="1:16" x14ac:dyDescent="0.3">
      <c r="H31" s="24"/>
    </row>
    <row r="32" spans="1:16" ht="21" x14ac:dyDescent="0.4">
      <c r="D32" s="31" t="s">
        <v>212</v>
      </c>
      <c r="E32" s="12"/>
      <c r="F32" s="12"/>
      <c r="G32" s="12"/>
      <c r="H32" s="24"/>
      <c r="I32" s="31" t="s">
        <v>226</v>
      </c>
    </row>
    <row r="33" spans="1:16" ht="15.6" x14ac:dyDescent="0.3">
      <c r="D33" s="12"/>
      <c r="E33" s="12" t="s">
        <v>57</v>
      </c>
      <c r="F33" s="12" t="s">
        <v>214</v>
      </c>
      <c r="G33" s="12" t="s">
        <v>215</v>
      </c>
      <c r="H33" s="24"/>
      <c r="J33" s="12" t="s">
        <v>57</v>
      </c>
      <c r="K33" s="12" t="s">
        <v>227</v>
      </c>
      <c r="L33" s="12" t="s">
        <v>228</v>
      </c>
      <c r="M33" s="12" t="s">
        <v>215</v>
      </c>
    </row>
    <row r="34" spans="1:16" ht="15.6" x14ac:dyDescent="0.3">
      <c r="D34" s="12"/>
      <c r="E34" s="12">
        <v>1</v>
      </c>
      <c r="F34" s="12" t="s">
        <v>217</v>
      </c>
      <c r="G34" t="s">
        <v>222</v>
      </c>
      <c r="H34" s="24"/>
      <c r="J34">
        <v>1</v>
      </c>
      <c r="K34" t="s">
        <v>229</v>
      </c>
      <c r="L34" t="s">
        <v>230</v>
      </c>
      <c r="M34" t="s">
        <v>236</v>
      </c>
    </row>
    <row r="35" spans="1:16" x14ac:dyDescent="0.3">
      <c r="E35">
        <v>1</v>
      </c>
      <c r="F35" t="s">
        <v>247</v>
      </c>
      <c r="H35" s="24"/>
      <c r="J35">
        <v>2</v>
      </c>
      <c r="K35" t="s">
        <v>264</v>
      </c>
      <c r="L35" t="s">
        <v>273</v>
      </c>
    </row>
    <row r="36" spans="1:16" x14ac:dyDescent="0.3">
      <c r="E36">
        <v>2</v>
      </c>
      <c r="F36" t="s">
        <v>260</v>
      </c>
      <c r="H36" s="24"/>
      <c r="J36">
        <v>3</v>
      </c>
      <c r="K36" t="s">
        <v>265</v>
      </c>
      <c r="L36" s="33" t="s">
        <v>272</v>
      </c>
    </row>
    <row r="37" spans="1:16" ht="15.6" x14ac:dyDescent="0.3">
      <c r="E37" s="12">
        <v>3</v>
      </c>
      <c r="F37" t="s">
        <v>261</v>
      </c>
      <c r="H37" s="24"/>
      <c r="J37">
        <v>4</v>
      </c>
      <c r="K37" t="s">
        <v>266</v>
      </c>
      <c r="L37" t="s">
        <v>271</v>
      </c>
    </row>
    <row r="38" spans="1:16" ht="15.6" x14ac:dyDescent="0.3">
      <c r="E38" s="12">
        <v>4</v>
      </c>
      <c r="F38" t="s">
        <v>262</v>
      </c>
      <c r="H38" s="24"/>
      <c r="J38">
        <v>5</v>
      </c>
      <c r="K38" t="s">
        <v>267</v>
      </c>
      <c r="L38" t="s">
        <v>270</v>
      </c>
    </row>
    <row r="39" spans="1:16" ht="15.6" x14ac:dyDescent="0.3">
      <c r="E39" s="12">
        <v>5</v>
      </c>
      <c r="F39" t="s">
        <v>263</v>
      </c>
      <c r="H39" s="24"/>
      <c r="J39">
        <v>6</v>
      </c>
      <c r="K39" t="s">
        <v>268</v>
      </c>
      <c r="L39" t="s">
        <v>269</v>
      </c>
    </row>
    <row r="40" spans="1:16" x14ac:dyDescent="0.3">
      <c r="H40" s="24"/>
    </row>
    <row r="41" spans="1:16" x14ac:dyDescent="0.3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</row>
    <row r="42" spans="1:16" x14ac:dyDescent="0.3">
      <c r="H42" s="24"/>
    </row>
    <row r="43" spans="1:16" ht="25.8" x14ac:dyDescent="0.5">
      <c r="C43" s="32" t="s">
        <v>199</v>
      </c>
      <c r="H43" s="24"/>
    </row>
    <row r="44" spans="1:16" x14ac:dyDescent="0.3">
      <c r="H44" s="24"/>
    </row>
    <row r="45" spans="1:16" ht="21" x14ac:dyDescent="0.4">
      <c r="D45" s="31" t="s">
        <v>212</v>
      </c>
      <c r="E45" s="12"/>
      <c r="F45" s="12"/>
      <c r="G45" s="12"/>
      <c r="H45" s="24"/>
      <c r="I45" s="31" t="s">
        <v>226</v>
      </c>
    </row>
    <row r="46" spans="1:16" ht="15.6" x14ac:dyDescent="0.3">
      <c r="D46" s="12"/>
      <c r="E46" s="12" t="s">
        <v>57</v>
      </c>
      <c r="F46" s="12" t="s">
        <v>214</v>
      </c>
      <c r="G46" s="12" t="s">
        <v>215</v>
      </c>
      <c r="H46" s="24"/>
      <c r="J46" s="12" t="s">
        <v>57</v>
      </c>
      <c r="K46" s="12" t="s">
        <v>227</v>
      </c>
      <c r="L46" s="12" t="s">
        <v>228</v>
      </c>
      <c r="M46" s="12" t="s">
        <v>215</v>
      </c>
    </row>
    <row r="47" spans="1:16" ht="15.6" x14ac:dyDescent="0.3">
      <c r="D47" s="12"/>
      <c r="E47" s="12">
        <v>1</v>
      </c>
      <c r="F47" s="12" t="s">
        <v>218</v>
      </c>
      <c r="G47" t="s">
        <v>223</v>
      </c>
      <c r="H47" s="24"/>
      <c r="J47">
        <v>1</v>
      </c>
      <c r="K47" t="s">
        <v>229</v>
      </c>
      <c r="L47" t="s">
        <v>232</v>
      </c>
      <c r="M47" t="s">
        <v>237</v>
      </c>
    </row>
    <row r="48" spans="1:16" x14ac:dyDescent="0.3">
      <c r="E48">
        <v>2</v>
      </c>
      <c r="F48" t="s">
        <v>246</v>
      </c>
      <c r="H48" s="24"/>
      <c r="K48" t="s">
        <v>283</v>
      </c>
      <c r="L48" t="s">
        <v>292</v>
      </c>
    </row>
    <row r="49" spans="1:16" x14ac:dyDescent="0.3">
      <c r="E49">
        <v>3</v>
      </c>
      <c r="F49" t="s">
        <v>279</v>
      </c>
      <c r="H49" s="24"/>
      <c r="K49" t="s">
        <v>284</v>
      </c>
      <c r="L49" t="s">
        <v>291</v>
      </c>
    </row>
    <row r="50" spans="1:16" ht="15.6" x14ac:dyDescent="0.3">
      <c r="E50" s="12">
        <v>4</v>
      </c>
      <c r="F50" t="s">
        <v>280</v>
      </c>
      <c r="H50" s="24"/>
      <c r="K50" t="s">
        <v>285</v>
      </c>
      <c r="L50" t="s">
        <v>290</v>
      </c>
    </row>
    <row r="51" spans="1:16" ht="15.6" x14ac:dyDescent="0.3">
      <c r="E51" s="12">
        <v>5</v>
      </c>
      <c r="F51" t="s">
        <v>281</v>
      </c>
      <c r="H51" s="24"/>
      <c r="K51" t="s">
        <v>286</v>
      </c>
      <c r="L51" t="s">
        <v>289</v>
      </c>
    </row>
    <row r="52" spans="1:16" ht="15.6" x14ac:dyDescent="0.3">
      <c r="E52" s="12">
        <v>6</v>
      </c>
      <c r="F52" t="s">
        <v>282</v>
      </c>
      <c r="H52" s="24"/>
      <c r="K52" t="s">
        <v>287</v>
      </c>
      <c r="L52" t="s">
        <v>288</v>
      </c>
    </row>
    <row r="53" spans="1:16" x14ac:dyDescent="0.3">
      <c r="H53" s="24"/>
    </row>
    <row r="54" spans="1:16" x14ac:dyDescent="0.3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</row>
    <row r="55" spans="1:16" x14ac:dyDescent="0.3">
      <c r="H55" s="24"/>
    </row>
    <row r="56" spans="1:16" ht="25.8" x14ac:dyDescent="0.5">
      <c r="C56" s="32" t="s">
        <v>200</v>
      </c>
      <c r="H56" s="24"/>
    </row>
    <row r="57" spans="1:16" x14ac:dyDescent="0.3">
      <c r="H57" s="24"/>
    </row>
    <row r="58" spans="1:16" ht="21" x14ac:dyDescent="0.4">
      <c r="D58" s="31" t="s">
        <v>212</v>
      </c>
      <c r="E58" s="12"/>
      <c r="F58" s="12"/>
      <c r="G58" s="12"/>
      <c r="H58" s="24"/>
      <c r="I58" s="31" t="s">
        <v>226</v>
      </c>
    </row>
    <row r="59" spans="1:16" ht="15.6" x14ac:dyDescent="0.3">
      <c r="D59" s="12"/>
      <c r="E59" s="12" t="s">
        <v>57</v>
      </c>
      <c r="F59" s="12" t="s">
        <v>214</v>
      </c>
      <c r="G59" s="12" t="s">
        <v>215</v>
      </c>
      <c r="H59" s="24"/>
      <c r="J59" s="12" t="s">
        <v>57</v>
      </c>
      <c r="K59" s="12" t="s">
        <v>227</v>
      </c>
      <c r="L59" s="12" t="s">
        <v>228</v>
      </c>
      <c r="M59" s="12" t="s">
        <v>215</v>
      </c>
    </row>
    <row r="60" spans="1:16" ht="15.6" x14ac:dyDescent="0.3">
      <c r="D60" s="12"/>
      <c r="E60" s="12">
        <v>1</v>
      </c>
      <c r="F60" s="12" t="s">
        <v>219</v>
      </c>
      <c r="G60" t="s">
        <v>224</v>
      </c>
      <c r="H60" s="24"/>
      <c r="J60">
        <v>1</v>
      </c>
      <c r="K60" t="s">
        <v>229</v>
      </c>
      <c r="L60" t="s">
        <v>233</v>
      </c>
      <c r="M60" t="s">
        <v>238</v>
      </c>
    </row>
    <row r="61" spans="1:16" x14ac:dyDescent="0.3">
      <c r="E61">
        <v>2</v>
      </c>
      <c r="F61" t="s">
        <v>293</v>
      </c>
      <c r="H61" s="24"/>
      <c r="J61">
        <v>2</v>
      </c>
      <c r="K61" t="s">
        <v>297</v>
      </c>
      <c r="L61" t="s">
        <v>306</v>
      </c>
    </row>
    <row r="62" spans="1:16" x14ac:dyDescent="0.3">
      <c r="E62">
        <v>3</v>
      </c>
      <c r="F62" t="s">
        <v>294</v>
      </c>
      <c r="H62" s="24"/>
      <c r="J62">
        <v>3</v>
      </c>
      <c r="K62" t="s">
        <v>298</v>
      </c>
      <c r="L62" t="s">
        <v>305</v>
      </c>
    </row>
    <row r="63" spans="1:16" ht="15.6" x14ac:dyDescent="0.3">
      <c r="E63" s="12">
        <v>4</v>
      </c>
      <c r="F63" t="s">
        <v>295</v>
      </c>
      <c r="H63" s="24"/>
      <c r="J63">
        <v>4</v>
      </c>
      <c r="K63" t="s">
        <v>299</v>
      </c>
      <c r="L63" t="s">
        <v>304</v>
      </c>
    </row>
    <row r="64" spans="1:16" ht="15.6" customHeight="1" x14ac:dyDescent="0.3">
      <c r="E64" s="12">
        <v>5</v>
      </c>
      <c r="F64" t="s">
        <v>296</v>
      </c>
      <c r="H64" s="24"/>
      <c r="J64">
        <v>5</v>
      </c>
      <c r="K64" t="s">
        <v>300</v>
      </c>
      <c r="L64" t="s">
        <v>303</v>
      </c>
    </row>
    <row r="65" spans="1:16" ht="15.6" customHeight="1" x14ac:dyDescent="0.3">
      <c r="H65" s="24"/>
      <c r="J65">
        <v>6</v>
      </c>
      <c r="K65" t="s">
        <v>301</v>
      </c>
      <c r="L65" t="s">
        <v>302</v>
      </c>
    </row>
    <row r="66" spans="1:16" ht="15.6" customHeight="1" x14ac:dyDescent="0.3">
      <c r="H66" s="24"/>
    </row>
    <row r="67" spans="1:16" x14ac:dyDescent="0.3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</row>
    <row r="68" spans="1:16" x14ac:dyDescent="0.3">
      <c r="H68" s="24"/>
    </row>
    <row r="69" spans="1:16" ht="25.8" x14ac:dyDescent="0.5">
      <c r="C69" s="32" t="s">
        <v>197</v>
      </c>
      <c r="H69" s="24"/>
    </row>
    <row r="70" spans="1:16" x14ac:dyDescent="0.3">
      <c r="H70" s="24"/>
    </row>
    <row r="71" spans="1:16" ht="21" x14ac:dyDescent="0.4">
      <c r="D71" s="31" t="s">
        <v>212</v>
      </c>
      <c r="E71" s="12"/>
      <c r="F71" s="12"/>
      <c r="G71" s="12"/>
      <c r="H71" s="24"/>
      <c r="I71" s="31" t="s">
        <v>226</v>
      </c>
    </row>
    <row r="72" spans="1:16" ht="15.6" x14ac:dyDescent="0.3">
      <c r="D72" s="12"/>
      <c r="E72" s="12" t="s">
        <v>57</v>
      </c>
      <c r="F72" s="12" t="s">
        <v>214</v>
      </c>
      <c r="G72" s="12" t="s">
        <v>215</v>
      </c>
      <c r="H72" s="24"/>
      <c r="J72" s="12" t="s">
        <v>57</v>
      </c>
      <c r="K72" s="12" t="s">
        <v>227</v>
      </c>
      <c r="L72" s="12" t="s">
        <v>228</v>
      </c>
      <c r="M72" s="12" t="s">
        <v>215</v>
      </c>
    </row>
    <row r="73" spans="1:16" ht="15.6" x14ac:dyDescent="0.3">
      <c r="D73" s="12"/>
      <c r="E73" s="12">
        <v>1</v>
      </c>
      <c r="F73" s="12" t="s">
        <v>220</v>
      </c>
      <c r="G73" t="s">
        <v>225</v>
      </c>
      <c r="H73" s="24"/>
      <c r="J73">
        <v>1</v>
      </c>
      <c r="K73" t="s">
        <v>229</v>
      </c>
      <c r="L73" t="s">
        <v>234</v>
      </c>
      <c r="M73" t="s">
        <v>239</v>
      </c>
    </row>
    <row r="74" spans="1:16" x14ac:dyDescent="0.3">
      <c r="E74">
        <v>2</v>
      </c>
      <c r="F74" t="s">
        <v>307</v>
      </c>
      <c r="H74" s="24"/>
      <c r="K74" t="s">
        <v>311</v>
      </c>
      <c r="L74" s="33" t="s">
        <v>278</v>
      </c>
    </row>
    <row r="75" spans="1:16" x14ac:dyDescent="0.3">
      <c r="E75">
        <v>3</v>
      </c>
      <c r="F75" t="s">
        <v>308</v>
      </c>
      <c r="H75" s="24"/>
      <c r="K75" t="s">
        <v>312</v>
      </c>
      <c r="L75" t="s">
        <v>319</v>
      </c>
    </row>
    <row r="76" spans="1:16" ht="15.6" x14ac:dyDescent="0.3">
      <c r="E76" s="12">
        <v>4</v>
      </c>
      <c r="F76" t="s">
        <v>309</v>
      </c>
      <c r="H76" s="24"/>
      <c r="K76" t="s">
        <v>313</v>
      </c>
      <c r="L76" t="s">
        <v>318</v>
      </c>
    </row>
    <row r="77" spans="1:16" ht="15.6" x14ac:dyDescent="0.3">
      <c r="E77" s="12">
        <v>5</v>
      </c>
      <c r="F77" t="s">
        <v>310</v>
      </c>
      <c r="H77" s="24"/>
      <c r="K77" t="s">
        <v>314</v>
      </c>
      <c r="L77" t="s">
        <v>317</v>
      </c>
    </row>
    <row r="78" spans="1:16" x14ac:dyDescent="0.3">
      <c r="H78" s="24"/>
      <c r="K78" t="s">
        <v>315</v>
      </c>
      <c r="L78" t="s">
        <v>316</v>
      </c>
    </row>
    <row r="79" spans="1:16" x14ac:dyDescent="0.3">
      <c r="H79" s="24"/>
    </row>
    <row r="80" spans="1:16" x14ac:dyDescent="0.3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Data Cleaning</vt:lpstr>
      <vt:lpstr>Before &amp; After Column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2025-11-24T11:19:14Z</dcterms:modified>
</cp:coreProperties>
</file>